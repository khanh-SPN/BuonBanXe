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ho Xe" sheetId="1" state="visible" r:id="rId1"/>
    <sheet xmlns:r="http://schemas.openxmlformats.org/officeDocument/2006/relationships" name="Tổng Hợp" sheetId="2" state="visible" r:id="rId2"/>
    <sheet xmlns:r="http://schemas.openxmlformats.org/officeDocument/2006/relationships" name="Hướng Dẫn" sheetId="3" state="visible" r:id="rId3"/>
  </sheets>
  <definedNames>
    <definedName name="_xlnm._FilterDatabase" localSheetId="0" hidden="1">'Kho Xe'!$A$3:$Q$203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đ&quot;;(#,##0) &quot;đ&quot;;-"/>
    <numFmt numFmtId="165" formatCode="dd/mm/yyyy hh:mm"/>
    <numFmt numFmtId="166" formatCode="mm/yyyy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sz val="10"/>
    </font>
    <font>
      <name val="Arial"/>
      <b val="1"/>
      <sz val="10"/>
    </font>
    <font>
      <name val="Arial"/>
      <b val="1"/>
      <color rgb="00008000"/>
      <sz val="10"/>
    </font>
    <font>
      <name val="Arial"/>
      <b val="1"/>
      <color rgb="00C4702D"/>
      <sz val="12"/>
    </font>
    <font>
      <name val="Arial"/>
      <b val="1"/>
      <color rgb="00C4702D"/>
      <sz val="11"/>
    </font>
  </fonts>
  <fills count="6">
    <fill>
      <patternFill/>
    </fill>
    <fill>
      <patternFill patternType="gray125"/>
    </fill>
    <fill>
      <patternFill patternType="solid">
        <fgColor rgb="00C4702D"/>
      </patternFill>
    </fill>
    <fill>
      <patternFill patternType="solid">
        <fgColor rgb="001C1815"/>
      </patternFill>
    </fill>
    <fill>
      <patternFill patternType="solid">
        <fgColor rgb="00F0F0F0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/>
    </xf>
    <xf numFmtId="0" fontId="5" fillId="5" borderId="1" pivotButton="0" quotePrefix="0" xfId="0"/>
    <xf numFmtId="164" fontId="5" fillId="5" borderId="1" pivotButton="0" quotePrefix="0" xfId="0"/>
    <xf numFmtId="165" fontId="5" fillId="5" borderId="1" pivotButton="0" quotePrefix="0" xfId="0"/>
    <xf numFmtId="164" fontId="4" fillId="4" borderId="1" pivotButton="0" quotePrefix="0" xfId="0"/>
    <xf numFmtId="0" fontId="5" fillId="5" borderId="1" applyAlignment="1" pivotButton="0" quotePrefix="0" xfId="0">
      <alignment horizontal="center"/>
    </xf>
    <xf numFmtId="0" fontId="6" fillId="0" borderId="1" pivotButton="0" quotePrefix="0" xfId="0"/>
    <xf numFmtId="0" fontId="4" fillId="4" borderId="1" pivotButton="0" quotePrefix="0" xfId="0"/>
    <xf numFmtId="0" fontId="7" fillId="0" borderId="1" pivotButton="0" quotePrefix="0" xfId="0"/>
    <xf numFmtId="164" fontId="8" fillId="4" borderId="1" pivotButton="0" quotePrefix="0" xfId="0"/>
    <xf numFmtId="0" fontId="9" fillId="0" borderId="0" pivotButton="0" quotePrefix="0" xfId="0"/>
    <xf numFmtId="0" fontId="3" fillId="3" borderId="1" applyAlignment="1" pivotButton="0" quotePrefix="0" xfId="0">
      <alignment horizontal="center"/>
    </xf>
    <xf numFmtId="166" fontId="5" fillId="5" borderId="1" applyAlignment="1" pivotButton="0" quotePrefix="0" xfId="0">
      <alignment horizontal="center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</cellXfs>
  <cellStyles count="1">
    <cellStyle name="Normal" xfId="0" builtinId="0" hidden="0"/>
  </cellStyles>
  <dxfs count="2">
    <dxf>
      <fill>
        <patternFill patternType="solid">
          <fgColor rgb="00FDEDED"/>
        </patternFill>
      </fill>
    </dxf>
    <dxf>
      <fill>
        <patternFill patternType="solid">
          <fgColor rgb="00FFF6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5" customWidth="1" min="3" max="3"/>
    <col width="17" customWidth="1" min="4" max="4"/>
    <col width="17" customWidth="1" min="5" max="5"/>
    <col width="14" customWidth="1" min="6" max="6"/>
    <col width="18" customWidth="1" min="7" max="7"/>
    <col width="14" customWidth="1" min="8" max="8"/>
    <col width="16" customWidth="1" min="9" max="9"/>
    <col width="15" customWidth="1" min="10" max="10"/>
    <col width="17" customWidth="1" min="11" max="11"/>
    <col width="15" customWidth="1" min="12" max="12"/>
    <col width="17" customWidth="1" min="13" max="13"/>
    <col width="10" customWidth="1" min="14" max="14"/>
    <col width="13" customWidth="1" min="15" max="15"/>
    <col width="15" customWidth="1" min="16" max="16"/>
    <col width="30" customWidth="1" min="17" max="17"/>
  </cols>
  <sheetData>
    <row r="1" ht="26" customHeight="1">
      <c r="A1" s="1" t="inlineStr">
        <is>
          <t>QUẢN LÝ KHO XE — NHẬP · CỌC · BÁN · LÃI</t>
        </is>
      </c>
    </row>
    <row r="2">
      <c r="A2" s="2" t="inlineStr">
        <is>
          <t>Ô NỀN VÀNG = bạn tự điền  •  Ô NỀN XÁM = công thức tự tính, đừng sửa  •  Dòng 4 là ví dụ mẫu, xoá được</t>
        </is>
      </c>
    </row>
    <row r="3" ht="30" customHeight="1">
      <c r="A3" s="3" t="inlineStr">
        <is>
          <t>STT</t>
        </is>
      </c>
      <c r="B3" s="3" t="inlineStr">
        <is>
          <t>Tên xe</t>
        </is>
      </c>
      <c r="C3" s="3" t="inlineStr">
        <is>
          <t>Giá nhập</t>
        </is>
      </c>
      <c r="D3" s="3" t="inlineStr">
        <is>
          <t>Ngày nhập</t>
        </is>
      </c>
      <c r="E3" s="3" t="inlineStr">
        <is>
          <t>Giá dự kiến (+35%)</t>
        </is>
      </c>
      <c r="F3" s="3" t="inlineStr">
        <is>
          <t>Trạng thái</t>
        </is>
      </c>
      <c r="G3" s="3" t="inlineStr">
        <is>
          <t>Tên khách</t>
        </is>
      </c>
      <c r="H3" s="3" t="inlineStr">
        <is>
          <t>Tiền cọc</t>
        </is>
      </c>
      <c r="I3" s="3" t="inlineStr">
        <is>
          <t>Giá bán ra (chốt)</t>
        </is>
      </c>
      <c r="J3" s="3" t="inlineStr">
        <is>
          <t>Còn thanh toán</t>
        </is>
      </c>
      <c r="K3" s="3" t="inlineStr">
        <is>
          <t>Ngày cọc</t>
        </is>
      </c>
      <c r="L3" s="3" t="inlineStr">
        <is>
          <t>Giá bán thực tế</t>
        </is>
      </c>
      <c r="M3" s="3" t="inlineStr">
        <is>
          <t>Ngày bán</t>
        </is>
      </c>
      <c r="N3" s="3" t="inlineStr">
        <is>
          <t>Đủ 48h?</t>
        </is>
      </c>
      <c r="O3" s="3" t="inlineStr">
        <is>
          <t>Thuế 5%</t>
        </is>
      </c>
      <c r="P3" s="3" t="inlineStr">
        <is>
          <t>Lãi thực</t>
        </is>
      </c>
      <c r="Q3" s="3" t="inlineStr">
        <is>
          <t>Ghi chú</t>
        </is>
      </c>
    </row>
    <row r="4">
      <c r="A4" s="4">
        <f>IF(B4="","",ROW()-3)</f>
        <v/>
      </c>
      <c r="B4" s="5" t="inlineStr">
        <is>
          <t>VÍ DỤ: Wave Alpha</t>
        </is>
      </c>
      <c r="C4" s="6" t="n">
        <v>10000000</v>
      </c>
      <c r="D4" s="7">
        <f>DATE(2026,7,25)+TIME(9,0,0)</f>
        <v/>
      </c>
      <c r="E4" s="8">
        <f>IF(C4="","",C4*1.35)</f>
        <v/>
      </c>
      <c r="F4" s="9" t="inlineStr">
        <is>
          <t>Đã bán</t>
        </is>
      </c>
      <c r="G4" s="5" t="inlineStr">
        <is>
          <t>Chị Lan</t>
        </is>
      </c>
      <c r="H4" s="6" t="n">
        <v>1000000</v>
      </c>
      <c r="I4" s="6" t="n">
        <v>13000000</v>
      </c>
      <c r="J4" s="8">
        <f>IF(OR(I4="",H4=""),"",MAX(0,I4-H4))</f>
        <v/>
      </c>
      <c r="K4" s="7">
        <f>DATE(2026,7,26)+TIME(14,30,0)</f>
        <v/>
      </c>
      <c r="L4" s="6" t="n">
        <v>13000000</v>
      </c>
      <c r="M4" s="7">
        <f>DATE(2026,7,27)+TIME(16,0,0)</f>
        <v/>
      </c>
      <c r="N4" s="4">
        <f>IF(D4="","",IF(M4&lt;&gt;"",IF(M4-D4&gt;=2,"Đủ","Chưa"),IF(NOW()-D4&gt;=2,"Đủ","Chưa")))</f>
        <v/>
      </c>
      <c r="O4" s="8">
        <f>IF(L4="","",L4*0.05)</f>
        <v/>
      </c>
      <c r="P4" s="8">
        <f>IF(OR(L4="",C4=""),"",L4*0.95-C4)</f>
        <v/>
      </c>
      <c r="Q4" s="5" t="inlineStr">
        <is>
          <t>Xe đẹp, khách quen</t>
        </is>
      </c>
    </row>
    <row r="5">
      <c r="A5" s="4">
        <f>IF(B5="","",ROW()-3)</f>
        <v/>
      </c>
      <c r="B5" s="5" t="n"/>
      <c r="C5" s="6" t="n"/>
      <c r="D5" s="7" t="n"/>
      <c r="E5" s="8">
        <f>IF(C5="","",C5*1.35)</f>
        <v/>
      </c>
      <c r="F5" s="9" t="n"/>
      <c r="G5" s="5" t="n"/>
      <c r="H5" s="6" t="n"/>
      <c r="I5" s="6" t="n"/>
      <c r="J5" s="8">
        <f>IF(OR(I5="",H5=""),"",MAX(0,I5-H5))</f>
        <v/>
      </c>
      <c r="K5" s="7" t="n"/>
      <c r="L5" s="6" t="n"/>
      <c r="M5" s="7" t="n"/>
      <c r="N5" s="4">
        <f>IF(D5="","",IF(M5&lt;&gt;"",IF(M5-D5&gt;=2,"Đủ","Chưa"),IF(NOW()-D5&gt;=2,"Đủ","Chưa")))</f>
        <v/>
      </c>
      <c r="O5" s="8">
        <f>IF(L5="","",L5*0.05)</f>
        <v/>
      </c>
      <c r="P5" s="8">
        <f>IF(OR(L5="",C5=""),"",L5*0.95-C5)</f>
        <v/>
      </c>
      <c r="Q5" s="5" t="n"/>
    </row>
    <row r="6">
      <c r="A6" s="4">
        <f>IF(B6="","",ROW()-3)</f>
        <v/>
      </c>
      <c r="B6" s="5" t="n"/>
      <c r="C6" s="6" t="n"/>
      <c r="D6" s="7" t="n"/>
      <c r="E6" s="8">
        <f>IF(C6="","",C6*1.35)</f>
        <v/>
      </c>
      <c r="F6" s="9" t="n"/>
      <c r="G6" s="5" t="n"/>
      <c r="H6" s="6" t="n"/>
      <c r="I6" s="6" t="n"/>
      <c r="J6" s="8">
        <f>IF(OR(I6="",H6=""),"",MAX(0,I6-H6))</f>
        <v/>
      </c>
      <c r="K6" s="7" t="n"/>
      <c r="L6" s="6" t="n"/>
      <c r="M6" s="7" t="n"/>
      <c r="N6" s="4">
        <f>IF(D6="","",IF(M6&lt;&gt;"",IF(M6-D6&gt;=2,"Đủ","Chưa"),IF(NOW()-D6&gt;=2,"Đủ","Chưa")))</f>
        <v/>
      </c>
      <c r="O6" s="8">
        <f>IF(L6="","",L6*0.05)</f>
        <v/>
      </c>
      <c r="P6" s="8">
        <f>IF(OR(L6="",C6=""),"",L6*0.95-C6)</f>
        <v/>
      </c>
      <c r="Q6" s="5" t="n"/>
    </row>
    <row r="7">
      <c r="A7" s="4">
        <f>IF(B7="","",ROW()-3)</f>
        <v/>
      </c>
      <c r="B7" s="5" t="n"/>
      <c r="C7" s="6" t="n"/>
      <c r="D7" s="7" t="n"/>
      <c r="E7" s="8">
        <f>IF(C7="","",C7*1.35)</f>
        <v/>
      </c>
      <c r="F7" s="9" t="n"/>
      <c r="G7" s="5" t="n"/>
      <c r="H7" s="6" t="n"/>
      <c r="I7" s="6" t="n"/>
      <c r="J7" s="8">
        <f>IF(OR(I7="",H7=""),"",MAX(0,I7-H7))</f>
        <v/>
      </c>
      <c r="K7" s="7" t="n"/>
      <c r="L7" s="6" t="n"/>
      <c r="M7" s="7" t="n"/>
      <c r="N7" s="4">
        <f>IF(D7="","",IF(M7&lt;&gt;"",IF(M7-D7&gt;=2,"Đủ","Chưa"),IF(NOW()-D7&gt;=2,"Đủ","Chưa")))</f>
        <v/>
      </c>
      <c r="O7" s="8">
        <f>IF(L7="","",L7*0.05)</f>
        <v/>
      </c>
      <c r="P7" s="8">
        <f>IF(OR(L7="",C7=""),"",L7*0.95-C7)</f>
        <v/>
      </c>
      <c r="Q7" s="5" t="n"/>
    </row>
    <row r="8">
      <c r="A8" s="4">
        <f>IF(B8="","",ROW()-3)</f>
        <v/>
      </c>
      <c r="B8" s="5" t="n"/>
      <c r="C8" s="6" t="n"/>
      <c r="D8" s="7" t="n"/>
      <c r="E8" s="8">
        <f>IF(C8="","",C8*1.35)</f>
        <v/>
      </c>
      <c r="F8" s="9" t="n"/>
      <c r="G8" s="5" t="n"/>
      <c r="H8" s="6" t="n"/>
      <c r="I8" s="6" t="n"/>
      <c r="J8" s="8">
        <f>IF(OR(I8="",H8=""),"",MAX(0,I8-H8))</f>
        <v/>
      </c>
      <c r="K8" s="7" t="n"/>
      <c r="L8" s="6" t="n"/>
      <c r="M8" s="7" t="n"/>
      <c r="N8" s="4">
        <f>IF(D8="","",IF(M8&lt;&gt;"",IF(M8-D8&gt;=2,"Đủ","Chưa"),IF(NOW()-D8&gt;=2,"Đủ","Chưa")))</f>
        <v/>
      </c>
      <c r="O8" s="8">
        <f>IF(L8="","",L8*0.05)</f>
        <v/>
      </c>
      <c r="P8" s="8">
        <f>IF(OR(L8="",C8=""),"",L8*0.95-C8)</f>
        <v/>
      </c>
      <c r="Q8" s="5" t="n"/>
    </row>
    <row r="9">
      <c r="A9" s="4">
        <f>IF(B9="","",ROW()-3)</f>
        <v/>
      </c>
      <c r="B9" s="5" t="n"/>
      <c r="C9" s="6" t="n"/>
      <c r="D9" s="7" t="n"/>
      <c r="E9" s="8">
        <f>IF(C9="","",C9*1.35)</f>
        <v/>
      </c>
      <c r="F9" s="9" t="n"/>
      <c r="G9" s="5" t="n"/>
      <c r="H9" s="6" t="n"/>
      <c r="I9" s="6" t="n"/>
      <c r="J9" s="8">
        <f>IF(OR(I9="",H9=""),"",MAX(0,I9-H9))</f>
        <v/>
      </c>
      <c r="K9" s="7" t="n"/>
      <c r="L9" s="6" t="n"/>
      <c r="M9" s="7" t="n"/>
      <c r="N9" s="4">
        <f>IF(D9="","",IF(M9&lt;&gt;"",IF(M9-D9&gt;=2,"Đủ","Chưa"),IF(NOW()-D9&gt;=2,"Đủ","Chưa")))</f>
        <v/>
      </c>
      <c r="O9" s="8">
        <f>IF(L9="","",L9*0.05)</f>
        <v/>
      </c>
      <c r="P9" s="8">
        <f>IF(OR(L9="",C9=""),"",L9*0.95-C9)</f>
        <v/>
      </c>
      <c r="Q9" s="5" t="n"/>
    </row>
    <row r="10">
      <c r="A10" s="4">
        <f>IF(B10="","",ROW()-3)</f>
        <v/>
      </c>
      <c r="B10" s="5" t="n"/>
      <c r="C10" s="6" t="n"/>
      <c r="D10" s="7" t="n"/>
      <c r="E10" s="8">
        <f>IF(C10="","",C10*1.35)</f>
        <v/>
      </c>
      <c r="F10" s="9" t="n"/>
      <c r="G10" s="5" t="n"/>
      <c r="H10" s="6" t="n"/>
      <c r="I10" s="6" t="n"/>
      <c r="J10" s="8">
        <f>IF(OR(I10="",H10=""),"",MAX(0,I10-H10))</f>
        <v/>
      </c>
      <c r="K10" s="7" t="n"/>
      <c r="L10" s="6" t="n"/>
      <c r="M10" s="7" t="n"/>
      <c r="N10" s="4">
        <f>IF(D10="","",IF(M10&lt;&gt;"",IF(M10-D10&gt;=2,"Đủ","Chưa"),IF(NOW()-D10&gt;=2,"Đủ","Chưa")))</f>
        <v/>
      </c>
      <c r="O10" s="8">
        <f>IF(L10="","",L10*0.05)</f>
        <v/>
      </c>
      <c r="P10" s="8">
        <f>IF(OR(L10="",C10=""),"",L10*0.95-C10)</f>
        <v/>
      </c>
      <c r="Q10" s="5" t="n"/>
    </row>
    <row r="11">
      <c r="A11" s="4">
        <f>IF(B11="","",ROW()-3)</f>
        <v/>
      </c>
      <c r="B11" s="5" t="n"/>
      <c r="C11" s="6" t="n"/>
      <c r="D11" s="7" t="n"/>
      <c r="E11" s="8">
        <f>IF(C11="","",C11*1.35)</f>
        <v/>
      </c>
      <c r="F11" s="9" t="n"/>
      <c r="G11" s="5" t="n"/>
      <c r="H11" s="6" t="n"/>
      <c r="I11" s="6" t="n"/>
      <c r="J11" s="8">
        <f>IF(OR(I11="",H11=""),"",MAX(0,I11-H11))</f>
        <v/>
      </c>
      <c r="K11" s="7" t="n"/>
      <c r="L11" s="6" t="n"/>
      <c r="M11" s="7" t="n"/>
      <c r="N11" s="4">
        <f>IF(D11="","",IF(M11&lt;&gt;"",IF(M11-D11&gt;=2,"Đủ","Chưa"),IF(NOW()-D11&gt;=2,"Đủ","Chưa")))</f>
        <v/>
      </c>
      <c r="O11" s="8">
        <f>IF(L11="","",L11*0.05)</f>
        <v/>
      </c>
      <c r="P11" s="8">
        <f>IF(OR(L11="",C11=""),"",L11*0.95-C11)</f>
        <v/>
      </c>
      <c r="Q11" s="5" t="n"/>
    </row>
    <row r="12">
      <c r="A12" s="4">
        <f>IF(B12="","",ROW()-3)</f>
        <v/>
      </c>
      <c r="B12" s="5" t="n"/>
      <c r="C12" s="6" t="n"/>
      <c r="D12" s="7" t="n"/>
      <c r="E12" s="8">
        <f>IF(C12="","",C12*1.35)</f>
        <v/>
      </c>
      <c r="F12" s="9" t="n"/>
      <c r="G12" s="5" t="n"/>
      <c r="H12" s="6" t="n"/>
      <c r="I12" s="6" t="n"/>
      <c r="J12" s="8">
        <f>IF(OR(I12="",H12=""),"",MAX(0,I12-H12))</f>
        <v/>
      </c>
      <c r="K12" s="7" t="n"/>
      <c r="L12" s="6" t="n"/>
      <c r="M12" s="7" t="n"/>
      <c r="N12" s="4">
        <f>IF(D12="","",IF(M12&lt;&gt;"",IF(M12-D12&gt;=2,"Đủ","Chưa"),IF(NOW()-D12&gt;=2,"Đủ","Chưa")))</f>
        <v/>
      </c>
      <c r="O12" s="8">
        <f>IF(L12="","",L12*0.05)</f>
        <v/>
      </c>
      <c r="P12" s="8">
        <f>IF(OR(L12="",C12=""),"",L12*0.95-C12)</f>
        <v/>
      </c>
      <c r="Q12" s="5" t="n"/>
    </row>
    <row r="13">
      <c r="A13" s="4">
        <f>IF(B13="","",ROW()-3)</f>
        <v/>
      </c>
      <c r="B13" s="5" t="n"/>
      <c r="C13" s="6" t="n"/>
      <c r="D13" s="7" t="n"/>
      <c r="E13" s="8">
        <f>IF(C13="","",C13*1.35)</f>
        <v/>
      </c>
      <c r="F13" s="9" t="n"/>
      <c r="G13" s="5" t="n"/>
      <c r="H13" s="6" t="n"/>
      <c r="I13" s="6" t="n"/>
      <c r="J13" s="8">
        <f>IF(OR(I13="",H13=""),"",MAX(0,I13-H13))</f>
        <v/>
      </c>
      <c r="K13" s="7" t="n"/>
      <c r="L13" s="6" t="n"/>
      <c r="M13" s="7" t="n"/>
      <c r="N13" s="4">
        <f>IF(D13="","",IF(M13&lt;&gt;"",IF(M13-D13&gt;=2,"Đủ","Chưa"),IF(NOW()-D13&gt;=2,"Đủ","Chưa")))</f>
        <v/>
      </c>
      <c r="O13" s="8">
        <f>IF(L13="","",L13*0.05)</f>
        <v/>
      </c>
      <c r="P13" s="8">
        <f>IF(OR(L13="",C13=""),"",L13*0.95-C13)</f>
        <v/>
      </c>
      <c r="Q13" s="5" t="n"/>
    </row>
    <row r="14">
      <c r="A14" s="4">
        <f>IF(B14="","",ROW()-3)</f>
        <v/>
      </c>
      <c r="B14" s="5" t="n"/>
      <c r="C14" s="6" t="n"/>
      <c r="D14" s="7" t="n"/>
      <c r="E14" s="8">
        <f>IF(C14="","",C14*1.35)</f>
        <v/>
      </c>
      <c r="F14" s="9" t="n"/>
      <c r="G14" s="5" t="n"/>
      <c r="H14" s="6" t="n"/>
      <c r="I14" s="6" t="n"/>
      <c r="J14" s="8">
        <f>IF(OR(I14="",H14=""),"",MAX(0,I14-H14))</f>
        <v/>
      </c>
      <c r="K14" s="7" t="n"/>
      <c r="L14" s="6" t="n"/>
      <c r="M14" s="7" t="n"/>
      <c r="N14" s="4">
        <f>IF(D14="","",IF(M14&lt;&gt;"",IF(M14-D14&gt;=2,"Đủ","Chưa"),IF(NOW()-D14&gt;=2,"Đủ","Chưa")))</f>
        <v/>
      </c>
      <c r="O14" s="8">
        <f>IF(L14="","",L14*0.05)</f>
        <v/>
      </c>
      <c r="P14" s="8">
        <f>IF(OR(L14="",C14=""),"",L14*0.95-C14)</f>
        <v/>
      </c>
      <c r="Q14" s="5" t="n"/>
    </row>
    <row r="15">
      <c r="A15" s="4">
        <f>IF(B15="","",ROW()-3)</f>
        <v/>
      </c>
      <c r="B15" s="5" t="n"/>
      <c r="C15" s="6" t="n"/>
      <c r="D15" s="7" t="n"/>
      <c r="E15" s="8">
        <f>IF(C15="","",C15*1.35)</f>
        <v/>
      </c>
      <c r="F15" s="9" t="n"/>
      <c r="G15" s="5" t="n"/>
      <c r="H15" s="6" t="n"/>
      <c r="I15" s="6" t="n"/>
      <c r="J15" s="8">
        <f>IF(OR(I15="",H15=""),"",MAX(0,I15-H15))</f>
        <v/>
      </c>
      <c r="K15" s="7" t="n"/>
      <c r="L15" s="6" t="n"/>
      <c r="M15" s="7" t="n"/>
      <c r="N15" s="4">
        <f>IF(D15="","",IF(M15&lt;&gt;"",IF(M15-D15&gt;=2,"Đủ","Chưa"),IF(NOW()-D15&gt;=2,"Đủ","Chưa")))</f>
        <v/>
      </c>
      <c r="O15" s="8">
        <f>IF(L15="","",L15*0.05)</f>
        <v/>
      </c>
      <c r="P15" s="8">
        <f>IF(OR(L15="",C15=""),"",L15*0.95-C15)</f>
        <v/>
      </c>
      <c r="Q15" s="5" t="n"/>
    </row>
    <row r="16">
      <c r="A16" s="4">
        <f>IF(B16="","",ROW()-3)</f>
        <v/>
      </c>
      <c r="B16" s="5" t="n"/>
      <c r="C16" s="6" t="n"/>
      <c r="D16" s="7" t="n"/>
      <c r="E16" s="8">
        <f>IF(C16="","",C16*1.35)</f>
        <v/>
      </c>
      <c r="F16" s="9" t="n"/>
      <c r="G16" s="5" t="n"/>
      <c r="H16" s="6" t="n"/>
      <c r="I16" s="6" t="n"/>
      <c r="J16" s="8">
        <f>IF(OR(I16="",H16=""),"",MAX(0,I16-H16))</f>
        <v/>
      </c>
      <c r="K16" s="7" t="n"/>
      <c r="L16" s="6" t="n"/>
      <c r="M16" s="7" t="n"/>
      <c r="N16" s="4">
        <f>IF(D16="","",IF(M16&lt;&gt;"",IF(M16-D16&gt;=2,"Đủ","Chưa"),IF(NOW()-D16&gt;=2,"Đủ","Chưa")))</f>
        <v/>
      </c>
      <c r="O16" s="8">
        <f>IF(L16="","",L16*0.05)</f>
        <v/>
      </c>
      <c r="P16" s="8">
        <f>IF(OR(L16="",C16=""),"",L16*0.95-C16)</f>
        <v/>
      </c>
      <c r="Q16" s="5" t="n"/>
    </row>
    <row r="17">
      <c r="A17" s="4">
        <f>IF(B17="","",ROW()-3)</f>
        <v/>
      </c>
      <c r="B17" s="5" t="n"/>
      <c r="C17" s="6" t="n"/>
      <c r="D17" s="7" t="n"/>
      <c r="E17" s="8">
        <f>IF(C17="","",C17*1.35)</f>
        <v/>
      </c>
      <c r="F17" s="9" t="n"/>
      <c r="G17" s="5" t="n"/>
      <c r="H17" s="6" t="n"/>
      <c r="I17" s="6" t="n"/>
      <c r="J17" s="8">
        <f>IF(OR(I17="",H17=""),"",MAX(0,I17-H17))</f>
        <v/>
      </c>
      <c r="K17" s="7" t="n"/>
      <c r="L17" s="6" t="n"/>
      <c r="M17" s="7" t="n"/>
      <c r="N17" s="4">
        <f>IF(D17="","",IF(M17&lt;&gt;"",IF(M17-D17&gt;=2,"Đủ","Chưa"),IF(NOW()-D17&gt;=2,"Đủ","Chưa")))</f>
        <v/>
      </c>
      <c r="O17" s="8">
        <f>IF(L17="","",L17*0.05)</f>
        <v/>
      </c>
      <c r="P17" s="8">
        <f>IF(OR(L17="",C17=""),"",L17*0.95-C17)</f>
        <v/>
      </c>
      <c r="Q17" s="5" t="n"/>
    </row>
    <row r="18">
      <c r="A18" s="4">
        <f>IF(B18="","",ROW()-3)</f>
        <v/>
      </c>
      <c r="B18" s="5" t="n"/>
      <c r="C18" s="6" t="n"/>
      <c r="D18" s="7" t="n"/>
      <c r="E18" s="8">
        <f>IF(C18="","",C18*1.35)</f>
        <v/>
      </c>
      <c r="F18" s="9" t="n"/>
      <c r="G18" s="5" t="n"/>
      <c r="H18" s="6" t="n"/>
      <c r="I18" s="6" t="n"/>
      <c r="J18" s="8">
        <f>IF(OR(I18="",H18=""),"",MAX(0,I18-H18))</f>
        <v/>
      </c>
      <c r="K18" s="7" t="n"/>
      <c r="L18" s="6" t="n"/>
      <c r="M18" s="7" t="n"/>
      <c r="N18" s="4">
        <f>IF(D18="","",IF(M18&lt;&gt;"",IF(M18-D18&gt;=2,"Đủ","Chưa"),IF(NOW()-D18&gt;=2,"Đủ","Chưa")))</f>
        <v/>
      </c>
      <c r="O18" s="8">
        <f>IF(L18="","",L18*0.05)</f>
        <v/>
      </c>
      <c r="P18" s="8">
        <f>IF(OR(L18="",C18=""),"",L18*0.95-C18)</f>
        <v/>
      </c>
      <c r="Q18" s="5" t="n"/>
    </row>
    <row r="19">
      <c r="A19" s="4">
        <f>IF(B19="","",ROW()-3)</f>
        <v/>
      </c>
      <c r="B19" s="5" t="n"/>
      <c r="C19" s="6" t="n"/>
      <c r="D19" s="7" t="n"/>
      <c r="E19" s="8">
        <f>IF(C19="","",C19*1.35)</f>
        <v/>
      </c>
      <c r="F19" s="9" t="n"/>
      <c r="G19" s="5" t="n"/>
      <c r="H19" s="6" t="n"/>
      <c r="I19" s="6" t="n"/>
      <c r="J19" s="8">
        <f>IF(OR(I19="",H19=""),"",MAX(0,I19-H19))</f>
        <v/>
      </c>
      <c r="K19" s="7" t="n"/>
      <c r="L19" s="6" t="n"/>
      <c r="M19" s="7" t="n"/>
      <c r="N19" s="4">
        <f>IF(D19="","",IF(M19&lt;&gt;"",IF(M19-D19&gt;=2,"Đủ","Chưa"),IF(NOW()-D19&gt;=2,"Đủ","Chưa")))</f>
        <v/>
      </c>
      <c r="O19" s="8">
        <f>IF(L19="","",L19*0.05)</f>
        <v/>
      </c>
      <c r="P19" s="8">
        <f>IF(OR(L19="",C19=""),"",L19*0.95-C19)</f>
        <v/>
      </c>
      <c r="Q19" s="5" t="n"/>
    </row>
    <row r="20">
      <c r="A20" s="4">
        <f>IF(B20="","",ROW()-3)</f>
        <v/>
      </c>
      <c r="B20" s="5" t="n"/>
      <c r="C20" s="6" t="n"/>
      <c r="D20" s="7" t="n"/>
      <c r="E20" s="8">
        <f>IF(C20="","",C20*1.35)</f>
        <v/>
      </c>
      <c r="F20" s="9" t="n"/>
      <c r="G20" s="5" t="n"/>
      <c r="H20" s="6" t="n"/>
      <c r="I20" s="6" t="n"/>
      <c r="J20" s="8">
        <f>IF(OR(I20="",H20=""),"",MAX(0,I20-H20))</f>
        <v/>
      </c>
      <c r="K20" s="7" t="n"/>
      <c r="L20" s="6" t="n"/>
      <c r="M20" s="7" t="n"/>
      <c r="N20" s="4">
        <f>IF(D20="","",IF(M20&lt;&gt;"",IF(M20-D20&gt;=2,"Đủ","Chưa"),IF(NOW()-D20&gt;=2,"Đủ","Chưa")))</f>
        <v/>
      </c>
      <c r="O20" s="8">
        <f>IF(L20="","",L20*0.05)</f>
        <v/>
      </c>
      <c r="P20" s="8">
        <f>IF(OR(L20="",C20=""),"",L20*0.95-C20)</f>
        <v/>
      </c>
      <c r="Q20" s="5" t="n"/>
    </row>
    <row r="21">
      <c r="A21" s="4">
        <f>IF(B21="","",ROW()-3)</f>
        <v/>
      </c>
      <c r="B21" s="5" t="n"/>
      <c r="C21" s="6" t="n"/>
      <c r="D21" s="7" t="n"/>
      <c r="E21" s="8">
        <f>IF(C21="","",C21*1.35)</f>
        <v/>
      </c>
      <c r="F21" s="9" t="n"/>
      <c r="G21" s="5" t="n"/>
      <c r="H21" s="6" t="n"/>
      <c r="I21" s="6" t="n"/>
      <c r="J21" s="8">
        <f>IF(OR(I21="",H21=""),"",MAX(0,I21-H21))</f>
        <v/>
      </c>
      <c r="K21" s="7" t="n"/>
      <c r="L21" s="6" t="n"/>
      <c r="M21" s="7" t="n"/>
      <c r="N21" s="4">
        <f>IF(D21="","",IF(M21&lt;&gt;"",IF(M21-D21&gt;=2,"Đủ","Chưa"),IF(NOW()-D21&gt;=2,"Đủ","Chưa")))</f>
        <v/>
      </c>
      <c r="O21" s="8">
        <f>IF(L21="","",L21*0.05)</f>
        <v/>
      </c>
      <c r="P21" s="8">
        <f>IF(OR(L21="",C21=""),"",L21*0.95-C21)</f>
        <v/>
      </c>
      <c r="Q21" s="5" t="n"/>
    </row>
    <row r="22">
      <c r="A22" s="4">
        <f>IF(B22="","",ROW()-3)</f>
        <v/>
      </c>
      <c r="B22" s="5" t="n"/>
      <c r="C22" s="6" t="n"/>
      <c r="D22" s="7" t="n"/>
      <c r="E22" s="8">
        <f>IF(C22="","",C22*1.35)</f>
        <v/>
      </c>
      <c r="F22" s="9" t="n"/>
      <c r="G22" s="5" t="n"/>
      <c r="H22" s="6" t="n"/>
      <c r="I22" s="6" t="n"/>
      <c r="J22" s="8">
        <f>IF(OR(I22="",H22=""),"",MAX(0,I22-H22))</f>
        <v/>
      </c>
      <c r="K22" s="7" t="n"/>
      <c r="L22" s="6" t="n"/>
      <c r="M22" s="7" t="n"/>
      <c r="N22" s="4">
        <f>IF(D22="","",IF(M22&lt;&gt;"",IF(M22-D22&gt;=2,"Đủ","Chưa"),IF(NOW()-D22&gt;=2,"Đủ","Chưa")))</f>
        <v/>
      </c>
      <c r="O22" s="8">
        <f>IF(L22="","",L22*0.05)</f>
        <v/>
      </c>
      <c r="P22" s="8">
        <f>IF(OR(L22="",C22=""),"",L22*0.95-C22)</f>
        <v/>
      </c>
      <c r="Q22" s="5" t="n"/>
    </row>
    <row r="23">
      <c r="A23" s="4">
        <f>IF(B23="","",ROW()-3)</f>
        <v/>
      </c>
      <c r="B23" s="5" t="n"/>
      <c r="C23" s="6" t="n"/>
      <c r="D23" s="7" t="n"/>
      <c r="E23" s="8">
        <f>IF(C23="","",C23*1.35)</f>
        <v/>
      </c>
      <c r="F23" s="9" t="n"/>
      <c r="G23" s="5" t="n"/>
      <c r="H23" s="6" t="n"/>
      <c r="I23" s="6" t="n"/>
      <c r="J23" s="8">
        <f>IF(OR(I23="",H23=""),"",MAX(0,I23-H23))</f>
        <v/>
      </c>
      <c r="K23" s="7" t="n"/>
      <c r="L23" s="6" t="n"/>
      <c r="M23" s="7" t="n"/>
      <c r="N23" s="4">
        <f>IF(D23="","",IF(M23&lt;&gt;"",IF(M23-D23&gt;=2,"Đủ","Chưa"),IF(NOW()-D23&gt;=2,"Đủ","Chưa")))</f>
        <v/>
      </c>
      <c r="O23" s="8">
        <f>IF(L23="","",L23*0.05)</f>
        <v/>
      </c>
      <c r="P23" s="8">
        <f>IF(OR(L23="",C23=""),"",L23*0.95-C23)</f>
        <v/>
      </c>
      <c r="Q23" s="5" t="n"/>
    </row>
    <row r="24">
      <c r="A24" s="4">
        <f>IF(B24="","",ROW()-3)</f>
        <v/>
      </c>
      <c r="B24" s="5" t="n"/>
      <c r="C24" s="6" t="n"/>
      <c r="D24" s="7" t="n"/>
      <c r="E24" s="8">
        <f>IF(C24="","",C24*1.35)</f>
        <v/>
      </c>
      <c r="F24" s="9" t="n"/>
      <c r="G24" s="5" t="n"/>
      <c r="H24" s="6" t="n"/>
      <c r="I24" s="6" t="n"/>
      <c r="J24" s="8">
        <f>IF(OR(I24="",H24=""),"",MAX(0,I24-H24))</f>
        <v/>
      </c>
      <c r="K24" s="7" t="n"/>
      <c r="L24" s="6" t="n"/>
      <c r="M24" s="7" t="n"/>
      <c r="N24" s="4">
        <f>IF(D24="","",IF(M24&lt;&gt;"",IF(M24-D24&gt;=2,"Đủ","Chưa"),IF(NOW()-D24&gt;=2,"Đủ","Chưa")))</f>
        <v/>
      </c>
      <c r="O24" s="8">
        <f>IF(L24="","",L24*0.05)</f>
        <v/>
      </c>
      <c r="P24" s="8">
        <f>IF(OR(L24="",C24=""),"",L24*0.95-C24)</f>
        <v/>
      </c>
      <c r="Q24" s="5" t="n"/>
    </row>
    <row r="25">
      <c r="A25" s="4">
        <f>IF(B25="","",ROW()-3)</f>
        <v/>
      </c>
      <c r="B25" s="5" t="n"/>
      <c r="C25" s="6" t="n"/>
      <c r="D25" s="7" t="n"/>
      <c r="E25" s="8">
        <f>IF(C25="","",C25*1.35)</f>
        <v/>
      </c>
      <c r="F25" s="9" t="n"/>
      <c r="G25" s="5" t="n"/>
      <c r="H25" s="6" t="n"/>
      <c r="I25" s="6" t="n"/>
      <c r="J25" s="8">
        <f>IF(OR(I25="",H25=""),"",MAX(0,I25-H25))</f>
        <v/>
      </c>
      <c r="K25" s="7" t="n"/>
      <c r="L25" s="6" t="n"/>
      <c r="M25" s="7" t="n"/>
      <c r="N25" s="4">
        <f>IF(D25="","",IF(M25&lt;&gt;"",IF(M25-D25&gt;=2,"Đủ","Chưa"),IF(NOW()-D25&gt;=2,"Đủ","Chưa")))</f>
        <v/>
      </c>
      <c r="O25" s="8">
        <f>IF(L25="","",L25*0.05)</f>
        <v/>
      </c>
      <c r="P25" s="8">
        <f>IF(OR(L25="",C25=""),"",L25*0.95-C25)</f>
        <v/>
      </c>
      <c r="Q25" s="5" t="n"/>
    </row>
    <row r="26">
      <c r="A26" s="4">
        <f>IF(B26="","",ROW()-3)</f>
        <v/>
      </c>
      <c r="B26" s="5" t="n"/>
      <c r="C26" s="6" t="n"/>
      <c r="D26" s="7" t="n"/>
      <c r="E26" s="8">
        <f>IF(C26="","",C26*1.35)</f>
        <v/>
      </c>
      <c r="F26" s="9" t="n"/>
      <c r="G26" s="5" t="n"/>
      <c r="H26" s="6" t="n"/>
      <c r="I26" s="6" t="n"/>
      <c r="J26" s="8">
        <f>IF(OR(I26="",H26=""),"",MAX(0,I26-H26))</f>
        <v/>
      </c>
      <c r="K26" s="7" t="n"/>
      <c r="L26" s="6" t="n"/>
      <c r="M26" s="7" t="n"/>
      <c r="N26" s="4">
        <f>IF(D26="","",IF(M26&lt;&gt;"",IF(M26-D26&gt;=2,"Đủ","Chưa"),IF(NOW()-D26&gt;=2,"Đủ","Chưa")))</f>
        <v/>
      </c>
      <c r="O26" s="8">
        <f>IF(L26="","",L26*0.05)</f>
        <v/>
      </c>
      <c r="P26" s="8">
        <f>IF(OR(L26="",C26=""),"",L26*0.95-C26)</f>
        <v/>
      </c>
      <c r="Q26" s="5" t="n"/>
    </row>
    <row r="27">
      <c r="A27" s="4">
        <f>IF(B27="","",ROW()-3)</f>
        <v/>
      </c>
      <c r="B27" s="5" t="n"/>
      <c r="C27" s="6" t="n"/>
      <c r="D27" s="7" t="n"/>
      <c r="E27" s="8">
        <f>IF(C27="","",C27*1.35)</f>
        <v/>
      </c>
      <c r="F27" s="9" t="n"/>
      <c r="G27" s="5" t="n"/>
      <c r="H27" s="6" t="n"/>
      <c r="I27" s="6" t="n"/>
      <c r="J27" s="8">
        <f>IF(OR(I27="",H27=""),"",MAX(0,I27-H27))</f>
        <v/>
      </c>
      <c r="K27" s="7" t="n"/>
      <c r="L27" s="6" t="n"/>
      <c r="M27" s="7" t="n"/>
      <c r="N27" s="4">
        <f>IF(D27="","",IF(M27&lt;&gt;"",IF(M27-D27&gt;=2,"Đủ","Chưa"),IF(NOW()-D27&gt;=2,"Đủ","Chưa")))</f>
        <v/>
      </c>
      <c r="O27" s="8">
        <f>IF(L27="","",L27*0.05)</f>
        <v/>
      </c>
      <c r="P27" s="8">
        <f>IF(OR(L27="",C27=""),"",L27*0.95-C27)</f>
        <v/>
      </c>
      <c r="Q27" s="5" t="n"/>
    </row>
    <row r="28">
      <c r="A28" s="4">
        <f>IF(B28="","",ROW()-3)</f>
        <v/>
      </c>
      <c r="B28" s="5" t="n"/>
      <c r="C28" s="6" t="n"/>
      <c r="D28" s="7" t="n"/>
      <c r="E28" s="8">
        <f>IF(C28="","",C28*1.35)</f>
        <v/>
      </c>
      <c r="F28" s="9" t="n"/>
      <c r="G28" s="5" t="n"/>
      <c r="H28" s="6" t="n"/>
      <c r="I28" s="6" t="n"/>
      <c r="J28" s="8">
        <f>IF(OR(I28="",H28=""),"",MAX(0,I28-H28))</f>
        <v/>
      </c>
      <c r="K28" s="7" t="n"/>
      <c r="L28" s="6" t="n"/>
      <c r="M28" s="7" t="n"/>
      <c r="N28" s="4">
        <f>IF(D28="","",IF(M28&lt;&gt;"",IF(M28-D28&gt;=2,"Đủ","Chưa"),IF(NOW()-D28&gt;=2,"Đủ","Chưa")))</f>
        <v/>
      </c>
      <c r="O28" s="8">
        <f>IF(L28="","",L28*0.05)</f>
        <v/>
      </c>
      <c r="P28" s="8">
        <f>IF(OR(L28="",C28=""),"",L28*0.95-C28)</f>
        <v/>
      </c>
      <c r="Q28" s="5" t="n"/>
    </row>
    <row r="29">
      <c r="A29" s="4">
        <f>IF(B29="","",ROW()-3)</f>
        <v/>
      </c>
      <c r="B29" s="5" t="n"/>
      <c r="C29" s="6" t="n"/>
      <c r="D29" s="7" t="n"/>
      <c r="E29" s="8">
        <f>IF(C29="","",C29*1.35)</f>
        <v/>
      </c>
      <c r="F29" s="9" t="n"/>
      <c r="G29" s="5" t="n"/>
      <c r="H29" s="6" t="n"/>
      <c r="I29" s="6" t="n"/>
      <c r="J29" s="8">
        <f>IF(OR(I29="",H29=""),"",MAX(0,I29-H29))</f>
        <v/>
      </c>
      <c r="K29" s="7" t="n"/>
      <c r="L29" s="6" t="n"/>
      <c r="M29" s="7" t="n"/>
      <c r="N29" s="4">
        <f>IF(D29="","",IF(M29&lt;&gt;"",IF(M29-D29&gt;=2,"Đủ","Chưa"),IF(NOW()-D29&gt;=2,"Đủ","Chưa")))</f>
        <v/>
      </c>
      <c r="O29" s="8">
        <f>IF(L29="","",L29*0.05)</f>
        <v/>
      </c>
      <c r="P29" s="8">
        <f>IF(OR(L29="",C29=""),"",L29*0.95-C29)</f>
        <v/>
      </c>
      <c r="Q29" s="5" t="n"/>
    </row>
    <row r="30">
      <c r="A30" s="4">
        <f>IF(B30="","",ROW()-3)</f>
        <v/>
      </c>
      <c r="B30" s="5" t="n"/>
      <c r="C30" s="6" t="n"/>
      <c r="D30" s="7" t="n"/>
      <c r="E30" s="8">
        <f>IF(C30="","",C30*1.35)</f>
        <v/>
      </c>
      <c r="F30" s="9" t="n"/>
      <c r="G30" s="5" t="n"/>
      <c r="H30" s="6" t="n"/>
      <c r="I30" s="6" t="n"/>
      <c r="J30" s="8">
        <f>IF(OR(I30="",H30=""),"",MAX(0,I30-H30))</f>
        <v/>
      </c>
      <c r="K30" s="7" t="n"/>
      <c r="L30" s="6" t="n"/>
      <c r="M30" s="7" t="n"/>
      <c r="N30" s="4">
        <f>IF(D30="","",IF(M30&lt;&gt;"",IF(M30-D30&gt;=2,"Đủ","Chưa"),IF(NOW()-D30&gt;=2,"Đủ","Chưa")))</f>
        <v/>
      </c>
      <c r="O30" s="8">
        <f>IF(L30="","",L30*0.05)</f>
        <v/>
      </c>
      <c r="P30" s="8">
        <f>IF(OR(L30="",C30=""),"",L30*0.95-C30)</f>
        <v/>
      </c>
      <c r="Q30" s="5" t="n"/>
    </row>
    <row r="31">
      <c r="A31" s="4">
        <f>IF(B31="","",ROW()-3)</f>
        <v/>
      </c>
      <c r="B31" s="5" t="n"/>
      <c r="C31" s="6" t="n"/>
      <c r="D31" s="7" t="n"/>
      <c r="E31" s="8">
        <f>IF(C31="","",C31*1.35)</f>
        <v/>
      </c>
      <c r="F31" s="9" t="n"/>
      <c r="G31" s="5" t="n"/>
      <c r="H31" s="6" t="n"/>
      <c r="I31" s="6" t="n"/>
      <c r="J31" s="8">
        <f>IF(OR(I31="",H31=""),"",MAX(0,I31-H31))</f>
        <v/>
      </c>
      <c r="K31" s="7" t="n"/>
      <c r="L31" s="6" t="n"/>
      <c r="M31" s="7" t="n"/>
      <c r="N31" s="4">
        <f>IF(D31="","",IF(M31&lt;&gt;"",IF(M31-D31&gt;=2,"Đủ","Chưa"),IF(NOW()-D31&gt;=2,"Đủ","Chưa")))</f>
        <v/>
      </c>
      <c r="O31" s="8">
        <f>IF(L31="","",L31*0.05)</f>
        <v/>
      </c>
      <c r="P31" s="8">
        <f>IF(OR(L31="",C31=""),"",L31*0.95-C31)</f>
        <v/>
      </c>
      <c r="Q31" s="5" t="n"/>
    </row>
    <row r="32">
      <c r="A32" s="4">
        <f>IF(B32="","",ROW()-3)</f>
        <v/>
      </c>
      <c r="B32" s="5" t="n"/>
      <c r="C32" s="6" t="n"/>
      <c r="D32" s="7" t="n"/>
      <c r="E32" s="8">
        <f>IF(C32="","",C32*1.35)</f>
        <v/>
      </c>
      <c r="F32" s="9" t="n"/>
      <c r="G32" s="5" t="n"/>
      <c r="H32" s="6" t="n"/>
      <c r="I32" s="6" t="n"/>
      <c r="J32" s="8">
        <f>IF(OR(I32="",H32=""),"",MAX(0,I32-H32))</f>
        <v/>
      </c>
      <c r="K32" s="7" t="n"/>
      <c r="L32" s="6" t="n"/>
      <c r="M32" s="7" t="n"/>
      <c r="N32" s="4">
        <f>IF(D32="","",IF(M32&lt;&gt;"",IF(M32-D32&gt;=2,"Đủ","Chưa"),IF(NOW()-D32&gt;=2,"Đủ","Chưa")))</f>
        <v/>
      </c>
      <c r="O32" s="8">
        <f>IF(L32="","",L32*0.05)</f>
        <v/>
      </c>
      <c r="P32" s="8">
        <f>IF(OR(L32="",C32=""),"",L32*0.95-C32)</f>
        <v/>
      </c>
      <c r="Q32" s="5" t="n"/>
    </row>
    <row r="33">
      <c r="A33" s="4">
        <f>IF(B33="","",ROW()-3)</f>
        <v/>
      </c>
      <c r="B33" s="5" t="n"/>
      <c r="C33" s="6" t="n"/>
      <c r="D33" s="7" t="n"/>
      <c r="E33" s="8">
        <f>IF(C33="","",C33*1.35)</f>
        <v/>
      </c>
      <c r="F33" s="9" t="n"/>
      <c r="G33" s="5" t="n"/>
      <c r="H33" s="6" t="n"/>
      <c r="I33" s="6" t="n"/>
      <c r="J33" s="8">
        <f>IF(OR(I33="",H33=""),"",MAX(0,I33-H33))</f>
        <v/>
      </c>
      <c r="K33" s="7" t="n"/>
      <c r="L33" s="6" t="n"/>
      <c r="M33" s="7" t="n"/>
      <c r="N33" s="4">
        <f>IF(D33="","",IF(M33&lt;&gt;"",IF(M33-D33&gt;=2,"Đủ","Chưa"),IF(NOW()-D33&gt;=2,"Đủ","Chưa")))</f>
        <v/>
      </c>
      <c r="O33" s="8">
        <f>IF(L33="","",L33*0.05)</f>
        <v/>
      </c>
      <c r="P33" s="8">
        <f>IF(OR(L33="",C33=""),"",L33*0.95-C33)</f>
        <v/>
      </c>
      <c r="Q33" s="5" t="n"/>
    </row>
    <row r="34">
      <c r="A34" s="4">
        <f>IF(B34="","",ROW()-3)</f>
        <v/>
      </c>
      <c r="B34" s="5" t="n"/>
      <c r="C34" s="6" t="n"/>
      <c r="D34" s="7" t="n"/>
      <c r="E34" s="8">
        <f>IF(C34="","",C34*1.35)</f>
        <v/>
      </c>
      <c r="F34" s="9" t="n"/>
      <c r="G34" s="5" t="n"/>
      <c r="H34" s="6" t="n"/>
      <c r="I34" s="6" t="n"/>
      <c r="J34" s="8">
        <f>IF(OR(I34="",H34=""),"",MAX(0,I34-H34))</f>
        <v/>
      </c>
      <c r="K34" s="7" t="n"/>
      <c r="L34" s="6" t="n"/>
      <c r="M34" s="7" t="n"/>
      <c r="N34" s="4">
        <f>IF(D34="","",IF(M34&lt;&gt;"",IF(M34-D34&gt;=2,"Đủ","Chưa"),IF(NOW()-D34&gt;=2,"Đủ","Chưa")))</f>
        <v/>
      </c>
      <c r="O34" s="8">
        <f>IF(L34="","",L34*0.05)</f>
        <v/>
      </c>
      <c r="P34" s="8">
        <f>IF(OR(L34="",C34=""),"",L34*0.95-C34)</f>
        <v/>
      </c>
      <c r="Q34" s="5" t="n"/>
    </row>
    <row r="35">
      <c r="A35" s="4">
        <f>IF(B35="","",ROW()-3)</f>
        <v/>
      </c>
      <c r="B35" s="5" t="n"/>
      <c r="C35" s="6" t="n"/>
      <c r="D35" s="7" t="n"/>
      <c r="E35" s="8">
        <f>IF(C35="","",C35*1.35)</f>
        <v/>
      </c>
      <c r="F35" s="9" t="n"/>
      <c r="G35" s="5" t="n"/>
      <c r="H35" s="6" t="n"/>
      <c r="I35" s="6" t="n"/>
      <c r="J35" s="8">
        <f>IF(OR(I35="",H35=""),"",MAX(0,I35-H35))</f>
        <v/>
      </c>
      <c r="K35" s="7" t="n"/>
      <c r="L35" s="6" t="n"/>
      <c r="M35" s="7" t="n"/>
      <c r="N35" s="4">
        <f>IF(D35="","",IF(M35&lt;&gt;"",IF(M35-D35&gt;=2,"Đủ","Chưa"),IF(NOW()-D35&gt;=2,"Đủ","Chưa")))</f>
        <v/>
      </c>
      <c r="O35" s="8">
        <f>IF(L35="","",L35*0.05)</f>
        <v/>
      </c>
      <c r="P35" s="8">
        <f>IF(OR(L35="",C35=""),"",L35*0.95-C35)</f>
        <v/>
      </c>
      <c r="Q35" s="5" t="n"/>
    </row>
    <row r="36">
      <c r="A36" s="4">
        <f>IF(B36="","",ROW()-3)</f>
        <v/>
      </c>
      <c r="B36" s="5" t="n"/>
      <c r="C36" s="6" t="n"/>
      <c r="D36" s="7" t="n"/>
      <c r="E36" s="8">
        <f>IF(C36="","",C36*1.35)</f>
        <v/>
      </c>
      <c r="F36" s="9" t="n"/>
      <c r="G36" s="5" t="n"/>
      <c r="H36" s="6" t="n"/>
      <c r="I36" s="6" t="n"/>
      <c r="J36" s="8">
        <f>IF(OR(I36="",H36=""),"",MAX(0,I36-H36))</f>
        <v/>
      </c>
      <c r="K36" s="7" t="n"/>
      <c r="L36" s="6" t="n"/>
      <c r="M36" s="7" t="n"/>
      <c r="N36" s="4">
        <f>IF(D36="","",IF(M36&lt;&gt;"",IF(M36-D36&gt;=2,"Đủ","Chưa"),IF(NOW()-D36&gt;=2,"Đủ","Chưa")))</f>
        <v/>
      </c>
      <c r="O36" s="8">
        <f>IF(L36="","",L36*0.05)</f>
        <v/>
      </c>
      <c r="P36" s="8">
        <f>IF(OR(L36="",C36=""),"",L36*0.95-C36)</f>
        <v/>
      </c>
      <c r="Q36" s="5" t="n"/>
    </row>
    <row r="37">
      <c r="A37" s="4">
        <f>IF(B37="","",ROW()-3)</f>
        <v/>
      </c>
      <c r="B37" s="5" t="n"/>
      <c r="C37" s="6" t="n"/>
      <c r="D37" s="7" t="n"/>
      <c r="E37" s="8">
        <f>IF(C37="","",C37*1.35)</f>
        <v/>
      </c>
      <c r="F37" s="9" t="n"/>
      <c r="G37" s="5" t="n"/>
      <c r="H37" s="6" t="n"/>
      <c r="I37" s="6" t="n"/>
      <c r="J37" s="8">
        <f>IF(OR(I37="",H37=""),"",MAX(0,I37-H37))</f>
        <v/>
      </c>
      <c r="K37" s="7" t="n"/>
      <c r="L37" s="6" t="n"/>
      <c r="M37" s="7" t="n"/>
      <c r="N37" s="4">
        <f>IF(D37="","",IF(M37&lt;&gt;"",IF(M37-D37&gt;=2,"Đủ","Chưa"),IF(NOW()-D37&gt;=2,"Đủ","Chưa")))</f>
        <v/>
      </c>
      <c r="O37" s="8">
        <f>IF(L37="","",L37*0.05)</f>
        <v/>
      </c>
      <c r="P37" s="8">
        <f>IF(OR(L37="",C37=""),"",L37*0.95-C37)</f>
        <v/>
      </c>
      <c r="Q37" s="5" t="n"/>
    </row>
    <row r="38">
      <c r="A38" s="4">
        <f>IF(B38="","",ROW()-3)</f>
        <v/>
      </c>
      <c r="B38" s="5" t="n"/>
      <c r="C38" s="6" t="n"/>
      <c r="D38" s="7" t="n"/>
      <c r="E38" s="8">
        <f>IF(C38="","",C38*1.35)</f>
        <v/>
      </c>
      <c r="F38" s="9" t="n"/>
      <c r="G38" s="5" t="n"/>
      <c r="H38" s="6" t="n"/>
      <c r="I38" s="6" t="n"/>
      <c r="J38" s="8">
        <f>IF(OR(I38="",H38=""),"",MAX(0,I38-H38))</f>
        <v/>
      </c>
      <c r="K38" s="7" t="n"/>
      <c r="L38" s="6" t="n"/>
      <c r="M38" s="7" t="n"/>
      <c r="N38" s="4">
        <f>IF(D38="","",IF(M38&lt;&gt;"",IF(M38-D38&gt;=2,"Đủ","Chưa"),IF(NOW()-D38&gt;=2,"Đủ","Chưa")))</f>
        <v/>
      </c>
      <c r="O38" s="8">
        <f>IF(L38="","",L38*0.05)</f>
        <v/>
      </c>
      <c r="P38" s="8">
        <f>IF(OR(L38="",C38=""),"",L38*0.95-C38)</f>
        <v/>
      </c>
      <c r="Q38" s="5" t="n"/>
    </row>
    <row r="39">
      <c r="A39" s="4">
        <f>IF(B39="","",ROW()-3)</f>
        <v/>
      </c>
      <c r="B39" s="5" t="n"/>
      <c r="C39" s="6" t="n"/>
      <c r="D39" s="7" t="n"/>
      <c r="E39" s="8">
        <f>IF(C39="","",C39*1.35)</f>
        <v/>
      </c>
      <c r="F39" s="9" t="n"/>
      <c r="G39" s="5" t="n"/>
      <c r="H39" s="6" t="n"/>
      <c r="I39" s="6" t="n"/>
      <c r="J39" s="8">
        <f>IF(OR(I39="",H39=""),"",MAX(0,I39-H39))</f>
        <v/>
      </c>
      <c r="K39" s="7" t="n"/>
      <c r="L39" s="6" t="n"/>
      <c r="M39" s="7" t="n"/>
      <c r="N39" s="4">
        <f>IF(D39="","",IF(M39&lt;&gt;"",IF(M39-D39&gt;=2,"Đủ","Chưa"),IF(NOW()-D39&gt;=2,"Đủ","Chưa")))</f>
        <v/>
      </c>
      <c r="O39" s="8">
        <f>IF(L39="","",L39*0.05)</f>
        <v/>
      </c>
      <c r="P39" s="8">
        <f>IF(OR(L39="",C39=""),"",L39*0.95-C39)</f>
        <v/>
      </c>
      <c r="Q39" s="5" t="n"/>
    </row>
    <row r="40">
      <c r="A40" s="4">
        <f>IF(B40="","",ROW()-3)</f>
        <v/>
      </c>
      <c r="B40" s="5" t="n"/>
      <c r="C40" s="6" t="n"/>
      <c r="D40" s="7" t="n"/>
      <c r="E40" s="8">
        <f>IF(C40="","",C40*1.35)</f>
        <v/>
      </c>
      <c r="F40" s="9" t="n"/>
      <c r="G40" s="5" t="n"/>
      <c r="H40" s="6" t="n"/>
      <c r="I40" s="6" t="n"/>
      <c r="J40" s="8">
        <f>IF(OR(I40="",H40=""),"",MAX(0,I40-H40))</f>
        <v/>
      </c>
      <c r="K40" s="7" t="n"/>
      <c r="L40" s="6" t="n"/>
      <c r="M40" s="7" t="n"/>
      <c r="N40" s="4">
        <f>IF(D40="","",IF(M40&lt;&gt;"",IF(M40-D40&gt;=2,"Đủ","Chưa"),IF(NOW()-D40&gt;=2,"Đủ","Chưa")))</f>
        <v/>
      </c>
      <c r="O40" s="8">
        <f>IF(L40="","",L40*0.05)</f>
        <v/>
      </c>
      <c r="P40" s="8">
        <f>IF(OR(L40="",C40=""),"",L40*0.95-C40)</f>
        <v/>
      </c>
      <c r="Q40" s="5" t="n"/>
    </row>
    <row r="41">
      <c r="A41" s="4">
        <f>IF(B41="","",ROW()-3)</f>
        <v/>
      </c>
      <c r="B41" s="5" t="n"/>
      <c r="C41" s="6" t="n"/>
      <c r="D41" s="7" t="n"/>
      <c r="E41" s="8">
        <f>IF(C41="","",C41*1.35)</f>
        <v/>
      </c>
      <c r="F41" s="9" t="n"/>
      <c r="G41" s="5" t="n"/>
      <c r="H41" s="6" t="n"/>
      <c r="I41" s="6" t="n"/>
      <c r="J41" s="8">
        <f>IF(OR(I41="",H41=""),"",MAX(0,I41-H41))</f>
        <v/>
      </c>
      <c r="K41" s="7" t="n"/>
      <c r="L41" s="6" t="n"/>
      <c r="M41" s="7" t="n"/>
      <c r="N41" s="4">
        <f>IF(D41="","",IF(M41&lt;&gt;"",IF(M41-D41&gt;=2,"Đủ","Chưa"),IF(NOW()-D41&gt;=2,"Đủ","Chưa")))</f>
        <v/>
      </c>
      <c r="O41" s="8">
        <f>IF(L41="","",L41*0.05)</f>
        <v/>
      </c>
      <c r="P41" s="8">
        <f>IF(OR(L41="",C41=""),"",L41*0.95-C41)</f>
        <v/>
      </c>
      <c r="Q41" s="5" t="n"/>
    </row>
    <row r="42">
      <c r="A42" s="4">
        <f>IF(B42="","",ROW()-3)</f>
        <v/>
      </c>
      <c r="B42" s="5" t="n"/>
      <c r="C42" s="6" t="n"/>
      <c r="D42" s="7" t="n"/>
      <c r="E42" s="8">
        <f>IF(C42="","",C42*1.35)</f>
        <v/>
      </c>
      <c r="F42" s="9" t="n"/>
      <c r="G42" s="5" t="n"/>
      <c r="H42" s="6" t="n"/>
      <c r="I42" s="6" t="n"/>
      <c r="J42" s="8">
        <f>IF(OR(I42="",H42=""),"",MAX(0,I42-H42))</f>
        <v/>
      </c>
      <c r="K42" s="7" t="n"/>
      <c r="L42" s="6" t="n"/>
      <c r="M42" s="7" t="n"/>
      <c r="N42" s="4">
        <f>IF(D42="","",IF(M42&lt;&gt;"",IF(M42-D42&gt;=2,"Đủ","Chưa"),IF(NOW()-D42&gt;=2,"Đủ","Chưa")))</f>
        <v/>
      </c>
      <c r="O42" s="8">
        <f>IF(L42="","",L42*0.05)</f>
        <v/>
      </c>
      <c r="P42" s="8">
        <f>IF(OR(L42="",C42=""),"",L42*0.95-C42)</f>
        <v/>
      </c>
      <c r="Q42" s="5" t="n"/>
    </row>
    <row r="43">
      <c r="A43" s="4">
        <f>IF(B43="","",ROW()-3)</f>
        <v/>
      </c>
      <c r="B43" s="5" t="n"/>
      <c r="C43" s="6" t="n"/>
      <c r="D43" s="7" t="n"/>
      <c r="E43" s="8">
        <f>IF(C43="","",C43*1.35)</f>
        <v/>
      </c>
      <c r="F43" s="9" t="n"/>
      <c r="G43" s="5" t="n"/>
      <c r="H43" s="6" t="n"/>
      <c r="I43" s="6" t="n"/>
      <c r="J43" s="8">
        <f>IF(OR(I43="",H43=""),"",MAX(0,I43-H43))</f>
        <v/>
      </c>
      <c r="K43" s="7" t="n"/>
      <c r="L43" s="6" t="n"/>
      <c r="M43" s="7" t="n"/>
      <c r="N43" s="4">
        <f>IF(D43="","",IF(M43&lt;&gt;"",IF(M43-D43&gt;=2,"Đủ","Chưa"),IF(NOW()-D43&gt;=2,"Đủ","Chưa")))</f>
        <v/>
      </c>
      <c r="O43" s="8">
        <f>IF(L43="","",L43*0.05)</f>
        <v/>
      </c>
      <c r="P43" s="8">
        <f>IF(OR(L43="",C43=""),"",L43*0.95-C43)</f>
        <v/>
      </c>
      <c r="Q43" s="5" t="n"/>
    </row>
    <row r="44">
      <c r="A44" s="4">
        <f>IF(B44="","",ROW()-3)</f>
        <v/>
      </c>
      <c r="B44" s="5" t="n"/>
      <c r="C44" s="6" t="n"/>
      <c r="D44" s="7" t="n"/>
      <c r="E44" s="8">
        <f>IF(C44="","",C44*1.35)</f>
        <v/>
      </c>
      <c r="F44" s="9" t="n"/>
      <c r="G44" s="5" t="n"/>
      <c r="H44" s="6" t="n"/>
      <c r="I44" s="6" t="n"/>
      <c r="J44" s="8">
        <f>IF(OR(I44="",H44=""),"",MAX(0,I44-H44))</f>
        <v/>
      </c>
      <c r="K44" s="7" t="n"/>
      <c r="L44" s="6" t="n"/>
      <c r="M44" s="7" t="n"/>
      <c r="N44" s="4">
        <f>IF(D44="","",IF(M44&lt;&gt;"",IF(M44-D44&gt;=2,"Đủ","Chưa"),IF(NOW()-D44&gt;=2,"Đủ","Chưa")))</f>
        <v/>
      </c>
      <c r="O44" s="8">
        <f>IF(L44="","",L44*0.05)</f>
        <v/>
      </c>
      <c r="P44" s="8">
        <f>IF(OR(L44="",C44=""),"",L44*0.95-C44)</f>
        <v/>
      </c>
      <c r="Q44" s="5" t="n"/>
    </row>
    <row r="45">
      <c r="A45" s="4">
        <f>IF(B45="","",ROW()-3)</f>
        <v/>
      </c>
      <c r="B45" s="5" t="n"/>
      <c r="C45" s="6" t="n"/>
      <c r="D45" s="7" t="n"/>
      <c r="E45" s="8">
        <f>IF(C45="","",C45*1.35)</f>
        <v/>
      </c>
      <c r="F45" s="9" t="n"/>
      <c r="G45" s="5" t="n"/>
      <c r="H45" s="6" t="n"/>
      <c r="I45" s="6" t="n"/>
      <c r="J45" s="8">
        <f>IF(OR(I45="",H45=""),"",MAX(0,I45-H45))</f>
        <v/>
      </c>
      <c r="K45" s="7" t="n"/>
      <c r="L45" s="6" t="n"/>
      <c r="M45" s="7" t="n"/>
      <c r="N45" s="4">
        <f>IF(D45="","",IF(M45&lt;&gt;"",IF(M45-D45&gt;=2,"Đủ","Chưa"),IF(NOW()-D45&gt;=2,"Đủ","Chưa")))</f>
        <v/>
      </c>
      <c r="O45" s="8">
        <f>IF(L45="","",L45*0.05)</f>
        <v/>
      </c>
      <c r="P45" s="8">
        <f>IF(OR(L45="",C45=""),"",L45*0.95-C45)</f>
        <v/>
      </c>
      <c r="Q45" s="5" t="n"/>
    </row>
    <row r="46">
      <c r="A46" s="4">
        <f>IF(B46="","",ROW()-3)</f>
        <v/>
      </c>
      <c r="B46" s="5" t="n"/>
      <c r="C46" s="6" t="n"/>
      <c r="D46" s="7" t="n"/>
      <c r="E46" s="8">
        <f>IF(C46="","",C46*1.35)</f>
        <v/>
      </c>
      <c r="F46" s="9" t="n"/>
      <c r="G46" s="5" t="n"/>
      <c r="H46" s="6" t="n"/>
      <c r="I46" s="6" t="n"/>
      <c r="J46" s="8">
        <f>IF(OR(I46="",H46=""),"",MAX(0,I46-H46))</f>
        <v/>
      </c>
      <c r="K46" s="7" t="n"/>
      <c r="L46" s="6" t="n"/>
      <c r="M46" s="7" t="n"/>
      <c r="N46" s="4">
        <f>IF(D46="","",IF(M46&lt;&gt;"",IF(M46-D46&gt;=2,"Đủ","Chưa"),IF(NOW()-D46&gt;=2,"Đủ","Chưa")))</f>
        <v/>
      </c>
      <c r="O46" s="8">
        <f>IF(L46="","",L46*0.05)</f>
        <v/>
      </c>
      <c r="P46" s="8">
        <f>IF(OR(L46="",C46=""),"",L46*0.95-C46)</f>
        <v/>
      </c>
      <c r="Q46" s="5" t="n"/>
    </row>
    <row r="47">
      <c r="A47" s="4">
        <f>IF(B47="","",ROW()-3)</f>
        <v/>
      </c>
      <c r="B47" s="5" t="n"/>
      <c r="C47" s="6" t="n"/>
      <c r="D47" s="7" t="n"/>
      <c r="E47" s="8">
        <f>IF(C47="","",C47*1.35)</f>
        <v/>
      </c>
      <c r="F47" s="9" t="n"/>
      <c r="G47" s="5" t="n"/>
      <c r="H47" s="6" t="n"/>
      <c r="I47" s="6" t="n"/>
      <c r="J47" s="8">
        <f>IF(OR(I47="",H47=""),"",MAX(0,I47-H47))</f>
        <v/>
      </c>
      <c r="K47" s="7" t="n"/>
      <c r="L47" s="6" t="n"/>
      <c r="M47" s="7" t="n"/>
      <c r="N47" s="4">
        <f>IF(D47="","",IF(M47&lt;&gt;"",IF(M47-D47&gt;=2,"Đủ","Chưa"),IF(NOW()-D47&gt;=2,"Đủ","Chưa")))</f>
        <v/>
      </c>
      <c r="O47" s="8">
        <f>IF(L47="","",L47*0.05)</f>
        <v/>
      </c>
      <c r="P47" s="8">
        <f>IF(OR(L47="",C47=""),"",L47*0.95-C47)</f>
        <v/>
      </c>
      <c r="Q47" s="5" t="n"/>
    </row>
    <row r="48">
      <c r="A48" s="4">
        <f>IF(B48="","",ROW()-3)</f>
        <v/>
      </c>
      <c r="B48" s="5" t="n"/>
      <c r="C48" s="6" t="n"/>
      <c r="D48" s="7" t="n"/>
      <c r="E48" s="8">
        <f>IF(C48="","",C48*1.35)</f>
        <v/>
      </c>
      <c r="F48" s="9" t="n"/>
      <c r="G48" s="5" t="n"/>
      <c r="H48" s="6" t="n"/>
      <c r="I48" s="6" t="n"/>
      <c r="J48" s="8">
        <f>IF(OR(I48="",H48=""),"",MAX(0,I48-H48))</f>
        <v/>
      </c>
      <c r="K48" s="7" t="n"/>
      <c r="L48" s="6" t="n"/>
      <c r="M48" s="7" t="n"/>
      <c r="N48" s="4">
        <f>IF(D48="","",IF(M48&lt;&gt;"",IF(M48-D48&gt;=2,"Đủ","Chưa"),IF(NOW()-D48&gt;=2,"Đủ","Chưa")))</f>
        <v/>
      </c>
      <c r="O48" s="8">
        <f>IF(L48="","",L48*0.05)</f>
        <v/>
      </c>
      <c r="P48" s="8">
        <f>IF(OR(L48="",C48=""),"",L48*0.95-C48)</f>
        <v/>
      </c>
      <c r="Q48" s="5" t="n"/>
    </row>
    <row r="49">
      <c r="A49" s="4">
        <f>IF(B49="","",ROW()-3)</f>
        <v/>
      </c>
      <c r="B49" s="5" t="n"/>
      <c r="C49" s="6" t="n"/>
      <c r="D49" s="7" t="n"/>
      <c r="E49" s="8">
        <f>IF(C49="","",C49*1.35)</f>
        <v/>
      </c>
      <c r="F49" s="9" t="n"/>
      <c r="G49" s="5" t="n"/>
      <c r="H49" s="6" t="n"/>
      <c r="I49" s="6" t="n"/>
      <c r="J49" s="8">
        <f>IF(OR(I49="",H49=""),"",MAX(0,I49-H49))</f>
        <v/>
      </c>
      <c r="K49" s="7" t="n"/>
      <c r="L49" s="6" t="n"/>
      <c r="M49" s="7" t="n"/>
      <c r="N49" s="4">
        <f>IF(D49="","",IF(M49&lt;&gt;"",IF(M49-D49&gt;=2,"Đủ","Chưa"),IF(NOW()-D49&gt;=2,"Đủ","Chưa")))</f>
        <v/>
      </c>
      <c r="O49" s="8">
        <f>IF(L49="","",L49*0.05)</f>
        <v/>
      </c>
      <c r="P49" s="8">
        <f>IF(OR(L49="",C49=""),"",L49*0.95-C49)</f>
        <v/>
      </c>
      <c r="Q49" s="5" t="n"/>
    </row>
    <row r="50">
      <c r="A50" s="4">
        <f>IF(B50="","",ROW()-3)</f>
        <v/>
      </c>
      <c r="B50" s="5" t="n"/>
      <c r="C50" s="6" t="n"/>
      <c r="D50" s="7" t="n"/>
      <c r="E50" s="8">
        <f>IF(C50="","",C50*1.35)</f>
        <v/>
      </c>
      <c r="F50" s="9" t="n"/>
      <c r="G50" s="5" t="n"/>
      <c r="H50" s="6" t="n"/>
      <c r="I50" s="6" t="n"/>
      <c r="J50" s="8">
        <f>IF(OR(I50="",H50=""),"",MAX(0,I50-H50))</f>
        <v/>
      </c>
      <c r="K50" s="7" t="n"/>
      <c r="L50" s="6" t="n"/>
      <c r="M50" s="7" t="n"/>
      <c r="N50" s="4">
        <f>IF(D50="","",IF(M50&lt;&gt;"",IF(M50-D50&gt;=2,"Đủ","Chưa"),IF(NOW()-D50&gt;=2,"Đủ","Chưa")))</f>
        <v/>
      </c>
      <c r="O50" s="8">
        <f>IF(L50="","",L50*0.05)</f>
        <v/>
      </c>
      <c r="P50" s="8">
        <f>IF(OR(L50="",C50=""),"",L50*0.95-C50)</f>
        <v/>
      </c>
      <c r="Q50" s="5" t="n"/>
    </row>
    <row r="51">
      <c r="A51" s="4">
        <f>IF(B51="","",ROW()-3)</f>
        <v/>
      </c>
      <c r="B51" s="5" t="n"/>
      <c r="C51" s="6" t="n"/>
      <c r="D51" s="7" t="n"/>
      <c r="E51" s="8">
        <f>IF(C51="","",C51*1.35)</f>
        <v/>
      </c>
      <c r="F51" s="9" t="n"/>
      <c r="G51" s="5" t="n"/>
      <c r="H51" s="6" t="n"/>
      <c r="I51" s="6" t="n"/>
      <c r="J51" s="8">
        <f>IF(OR(I51="",H51=""),"",MAX(0,I51-H51))</f>
        <v/>
      </c>
      <c r="K51" s="7" t="n"/>
      <c r="L51" s="6" t="n"/>
      <c r="M51" s="7" t="n"/>
      <c r="N51" s="4">
        <f>IF(D51="","",IF(M51&lt;&gt;"",IF(M51-D51&gt;=2,"Đủ","Chưa"),IF(NOW()-D51&gt;=2,"Đủ","Chưa")))</f>
        <v/>
      </c>
      <c r="O51" s="8">
        <f>IF(L51="","",L51*0.05)</f>
        <v/>
      </c>
      <c r="P51" s="8">
        <f>IF(OR(L51="",C51=""),"",L51*0.95-C51)</f>
        <v/>
      </c>
      <c r="Q51" s="5" t="n"/>
    </row>
    <row r="52">
      <c r="A52" s="4">
        <f>IF(B52="","",ROW()-3)</f>
        <v/>
      </c>
      <c r="B52" s="5" t="n"/>
      <c r="C52" s="6" t="n"/>
      <c r="D52" s="7" t="n"/>
      <c r="E52" s="8">
        <f>IF(C52="","",C52*1.35)</f>
        <v/>
      </c>
      <c r="F52" s="9" t="n"/>
      <c r="G52" s="5" t="n"/>
      <c r="H52" s="6" t="n"/>
      <c r="I52" s="6" t="n"/>
      <c r="J52" s="8">
        <f>IF(OR(I52="",H52=""),"",MAX(0,I52-H52))</f>
        <v/>
      </c>
      <c r="K52" s="7" t="n"/>
      <c r="L52" s="6" t="n"/>
      <c r="M52" s="7" t="n"/>
      <c r="N52" s="4">
        <f>IF(D52="","",IF(M52&lt;&gt;"",IF(M52-D52&gt;=2,"Đủ","Chưa"),IF(NOW()-D52&gt;=2,"Đủ","Chưa")))</f>
        <v/>
      </c>
      <c r="O52" s="8">
        <f>IF(L52="","",L52*0.05)</f>
        <v/>
      </c>
      <c r="P52" s="8">
        <f>IF(OR(L52="",C52=""),"",L52*0.95-C52)</f>
        <v/>
      </c>
      <c r="Q52" s="5" t="n"/>
    </row>
    <row r="53">
      <c r="A53" s="4">
        <f>IF(B53="","",ROW()-3)</f>
        <v/>
      </c>
      <c r="B53" s="5" t="n"/>
      <c r="C53" s="6" t="n"/>
      <c r="D53" s="7" t="n"/>
      <c r="E53" s="8">
        <f>IF(C53="","",C53*1.35)</f>
        <v/>
      </c>
      <c r="F53" s="9" t="n"/>
      <c r="G53" s="5" t="n"/>
      <c r="H53" s="6" t="n"/>
      <c r="I53" s="6" t="n"/>
      <c r="J53" s="8">
        <f>IF(OR(I53="",H53=""),"",MAX(0,I53-H53))</f>
        <v/>
      </c>
      <c r="K53" s="7" t="n"/>
      <c r="L53" s="6" t="n"/>
      <c r="M53" s="7" t="n"/>
      <c r="N53" s="4">
        <f>IF(D53="","",IF(M53&lt;&gt;"",IF(M53-D53&gt;=2,"Đủ","Chưa"),IF(NOW()-D53&gt;=2,"Đủ","Chưa")))</f>
        <v/>
      </c>
      <c r="O53" s="8">
        <f>IF(L53="","",L53*0.05)</f>
        <v/>
      </c>
      <c r="P53" s="8">
        <f>IF(OR(L53="",C53=""),"",L53*0.95-C53)</f>
        <v/>
      </c>
      <c r="Q53" s="5" t="n"/>
    </row>
    <row r="54">
      <c r="A54" s="4">
        <f>IF(B54="","",ROW()-3)</f>
        <v/>
      </c>
      <c r="B54" s="5" t="n"/>
      <c r="C54" s="6" t="n"/>
      <c r="D54" s="7" t="n"/>
      <c r="E54" s="8">
        <f>IF(C54="","",C54*1.35)</f>
        <v/>
      </c>
      <c r="F54" s="9" t="n"/>
      <c r="G54" s="5" t="n"/>
      <c r="H54" s="6" t="n"/>
      <c r="I54" s="6" t="n"/>
      <c r="J54" s="8">
        <f>IF(OR(I54="",H54=""),"",MAX(0,I54-H54))</f>
        <v/>
      </c>
      <c r="K54" s="7" t="n"/>
      <c r="L54" s="6" t="n"/>
      <c r="M54" s="7" t="n"/>
      <c r="N54" s="4">
        <f>IF(D54="","",IF(M54&lt;&gt;"",IF(M54-D54&gt;=2,"Đủ","Chưa"),IF(NOW()-D54&gt;=2,"Đủ","Chưa")))</f>
        <v/>
      </c>
      <c r="O54" s="8">
        <f>IF(L54="","",L54*0.05)</f>
        <v/>
      </c>
      <c r="P54" s="8">
        <f>IF(OR(L54="",C54=""),"",L54*0.95-C54)</f>
        <v/>
      </c>
      <c r="Q54" s="5" t="n"/>
    </row>
    <row r="55">
      <c r="A55" s="4">
        <f>IF(B55="","",ROW()-3)</f>
        <v/>
      </c>
      <c r="B55" s="5" t="n"/>
      <c r="C55" s="6" t="n"/>
      <c r="D55" s="7" t="n"/>
      <c r="E55" s="8">
        <f>IF(C55="","",C55*1.35)</f>
        <v/>
      </c>
      <c r="F55" s="9" t="n"/>
      <c r="G55" s="5" t="n"/>
      <c r="H55" s="6" t="n"/>
      <c r="I55" s="6" t="n"/>
      <c r="J55" s="8">
        <f>IF(OR(I55="",H55=""),"",MAX(0,I55-H55))</f>
        <v/>
      </c>
      <c r="K55" s="7" t="n"/>
      <c r="L55" s="6" t="n"/>
      <c r="M55" s="7" t="n"/>
      <c r="N55" s="4">
        <f>IF(D55="","",IF(M55&lt;&gt;"",IF(M55-D55&gt;=2,"Đủ","Chưa"),IF(NOW()-D55&gt;=2,"Đủ","Chưa")))</f>
        <v/>
      </c>
      <c r="O55" s="8">
        <f>IF(L55="","",L55*0.05)</f>
        <v/>
      </c>
      <c r="P55" s="8">
        <f>IF(OR(L55="",C55=""),"",L55*0.95-C55)</f>
        <v/>
      </c>
      <c r="Q55" s="5" t="n"/>
    </row>
    <row r="56">
      <c r="A56" s="4">
        <f>IF(B56="","",ROW()-3)</f>
        <v/>
      </c>
      <c r="B56" s="5" t="n"/>
      <c r="C56" s="6" t="n"/>
      <c r="D56" s="7" t="n"/>
      <c r="E56" s="8">
        <f>IF(C56="","",C56*1.35)</f>
        <v/>
      </c>
      <c r="F56" s="9" t="n"/>
      <c r="G56" s="5" t="n"/>
      <c r="H56" s="6" t="n"/>
      <c r="I56" s="6" t="n"/>
      <c r="J56" s="8">
        <f>IF(OR(I56="",H56=""),"",MAX(0,I56-H56))</f>
        <v/>
      </c>
      <c r="K56" s="7" t="n"/>
      <c r="L56" s="6" t="n"/>
      <c r="M56" s="7" t="n"/>
      <c r="N56" s="4">
        <f>IF(D56="","",IF(M56&lt;&gt;"",IF(M56-D56&gt;=2,"Đủ","Chưa"),IF(NOW()-D56&gt;=2,"Đủ","Chưa")))</f>
        <v/>
      </c>
      <c r="O56" s="8">
        <f>IF(L56="","",L56*0.05)</f>
        <v/>
      </c>
      <c r="P56" s="8">
        <f>IF(OR(L56="",C56=""),"",L56*0.95-C56)</f>
        <v/>
      </c>
      <c r="Q56" s="5" t="n"/>
    </row>
    <row r="57">
      <c r="A57" s="4">
        <f>IF(B57="","",ROW()-3)</f>
        <v/>
      </c>
      <c r="B57" s="5" t="n"/>
      <c r="C57" s="6" t="n"/>
      <c r="D57" s="7" t="n"/>
      <c r="E57" s="8">
        <f>IF(C57="","",C57*1.35)</f>
        <v/>
      </c>
      <c r="F57" s="9" t="n"/>
      <c r="G57" s="5" t="n"/>
      <c r="H57" s="6" t="n"/>
      <c r="I57" s="6" t="n"/>
      <c r="J57" s="8">
        <f>IF(OR(I57="",H57=""),"",MAX(0,I57-H57))</f>
        <v/>
      </c>
      <c r="K57" s="7" t="n"/>
      <c r="L57" s="6" t="n"/>
      <c r="M57" s="7" t="n"/>
      <c r="N57" s="4">
        <f>IF(D57="","",IF(M57&lt;&gt;"",IF(M57-D57&gt;=2,"Đủ","Chưa"),IF(NOW()-D57&gt;=2,"Đủ","Chưa")))</f>
        <v/>
      </c>
      <c r="O57" s="8">
        <f>IF(L57="","",L57*0.05)</f>
        <v/>
      </c>
      <c r="P57" s="8">
        <f>IF(OR(L57="",C57=""),"",L57*0.95-C57)</f>
        <v/>
      </c>
      <c r="Q57" s="5" t="n"/>
    </row>
    <row r="58">
      <c r="A58" s="4">
        <f>IF(B58="","",ROW()-3)</f>
        <v/>
      </c>
      <c r="B58" s="5" t="n"/>
      <c r="C58" s="6" t="n"/>
      <c r="D58" s="7" t="n"/>
      <c r="E58" s="8">
        <f>IF(C58="","",C58*1.35)</f>
        <v/>
      </c>
      <c r="F58" s="9" t="n"/>
      <c r="G58" s="5" t="n"/>
      <c r="H58" s="6" t="n"/>
      <c r="I58" s="6" t="n"/>
      <c r="J58" s="8">
        <f>IF(OR(I58="",H58=""),"",MAX(0,I58-H58))</f>
        <v/>
      </c>
      <c r="K58" s="7" t="n"/>
      <c r="L58" s="6" t="n"/>
      <c r="M58" s="7" t="n"/>
      <c r="N58" s="4">
        <f>IF(D58="","",IF(M58&lt;&gt;"",IF(M58-D58&gt;=2,"Đủ","Chưa"),IF(NOW()-D58&gt;=2,"Đủ","Chưa")))</f>
        <v/>
      </c>
      <c r="O58" s="8">
        <f>IF(L58="","",L58*0.05)</f>
        <v/>
      </c>
      <c r="P58" s="8">
        <f>IF(OR(L58="",C58=""),"",L58*0.95-C58)</f>
        <v/>
      </c>
      <c r="Q58" s="5" t="n"/>
    </row>
    <row r="59">
      <c r="A59" s="4">
        <f>IF(B59="","",ROW()-3)</f>
        <v/>
      </c>
      <c r="B59" s="5" t="n"/>
      <c r="C59" s="6" t="n"/>
      <c r="D59" s="7" t="n"/>
      <c r="E59" s="8">
        <f>IF(C59="","",C59*1.35)</f>
        <v/>
      </c>
      <c r="F59" s="9" t="n"/>
      <c r="G59" s="5" t="n"/>
      <c r="H59" s="6" t="n"/>
      <c r="I59" s="6" t="n"/>
      <c r="J59" s="8">
        <f>IF(OR(I59="",H59=""),"",MAX(0,I59-H59))</f>
        <v/>
      </c>
      <c r="K59" s="7" t="n"/>
      <c r="L59" s="6" t="n"/>
      <c r="M59" s="7" t="n"/>
      <c r="N59" s="4">
        <f>IF(D59="","",IF(M59&lt;&gt;"",IF(M59-D59&gt;=2,"Đủ","Chưa"),IF(NOW()-D59&gt;=2,"Đủ","Chưa")))</f>
        <v/>
      </c>
      <c r="O59" s="8">
        <f>IF(L59="","",L59*0.05)</f>
        <v/>
      </c>
      <c r="P59" s="8">
        <f>IF(OR(L59="",C59=""),"",L59*0.95-C59)</f>
        <v/>
      </c>
      <c r="Q59" s="5" t="n"/>
    </row>
    <row r="60">
      <c r="A60" s="4">
        <f>IF(B60="","",ROW()-3)</f>
        <v/>
      </c>
      <c r="B60" s="5" t="n"/>
      <c r="C60" s="6" t="n"/>
      <c r="D60" s="7" t="n"/>
      <c r="E60" s="8">
        <f>IF(C60="","",C60*1.35)</f>
        <v/>
      </c>
      <c r="F60" s="9" t="n"/>
      <c r="G60" s="5" t="n"/>
      <c r="H60" s="6" t="n"/>
      <c r="I60" s="6" t="n"/>
      <c r="J60" s="8">
        <f>IF(OR(I60="",H60=""),"",MAX(0,I60-H60))</f>
        <v/>
      </c>
      <c r="K60" s="7" t="n"/>
      <c r="L60" s="6" t="n"/>
      <c r="M60" s="7" t="n"/>
      <c r="N60" s="4">
        <f>IF(D60="","",IF(M60&lt;&gt;"",IF(M60-D60&gt;=2,"Đủ","Chưa"),IF(NOW()-D60&gt;=2,"Đủ","Chưa")))</f>
        <v/>
      </c>
      <c r="O60" s="8">
        <f>IF(L60="","",L60*0.05)</f>
        <v/>
      </c>
      <c r="P60" s="8">
        <f>IF(OR(L60="",C60=""),"",L60*0.95-C60)</f>
        <v/>
      </c>
      <c r="Q60" s="5" t="n"/>
    </row>
    <row r="61">
      <c r="A61" s="4">
        <f>IF(B61="","",ROW()-3)</f>
        <v/>
      </c>
      <c r="B61" s="5" t="n"/>
      <c r="C61" s="6" t="n"/>
      <c r="D61" s="7" t="n"/>
      <c r="E61" s="8">
        <f>IF(C61="","",C61*1.35)</f>
        <v/>
      </c>
      <c r="F61" s="9" t="n"/>
      <c r="G61" s="5" t="n"/>
      <c r="H61" s="6" t="n"/>
      <c r="I61" s="6" t="n"/>
      <c r="J61" s="8">
        <f>IF(OR(I61="",H61=""),"",MAX(0,I61-H61))</f>
        <v/>
      </c>
      <c r="K61" s="7" t="n"/>
      <c r="L61" s="6" t="n"/>
      <c r="M61" s="7" t="n"/>
      <c r="N61" s="4">
        <f>IF(D61="","",IF(M61&lt;&gt;"",IF(M61-D61&gt;=2,"Đủ","Chưa"),IF(NOW()-D61&gt;=2,"Đủ","Chưa")))</f>
        <v/>
      </c>
      <c r="O61" s="8">
        <f>IF(L61="","",L61*0.05)</f>
        <v/>
      </c>
      <c r="P61" s="8">
        <f>IF(OR(L61="",C61=""),"",L61*0.95-C61)</f>
        <v/>
      </c>
      <c r="Q61" s="5" t="n"/>
    </row>
    <row r="62">
      <c r="A62" s="4">
        <f>IF(B62="","",ROW()-3)</f>
        <v/>
      </c>
      <c r="B62" s="5" t="n"/>
      <c r="C62" s="6" t="n"/>
      <c r="D62" s="7" t="n"/>
      <c r="E62" s="8">
        <f>IF(C62="","",C62*1.35)</f>
        <v/>
      </c>
      <c r="F62" s="9" t="n"/>
      <c r="G62" s="5" t="n"/>
      <c r="H62" s="6" t="n"/>
      <c r="I62" s="6" t="n"/>
      <c r="J62" s="8">
        <f>IF(OR(I62="",H62=""),"",MAX(0,I62-H62))</f>
        <v/>
      </c>
      <c r="K62" s="7" t="n"/>
      <c r="L62" s="6" t="n"/>
      <c r="M62" s="7" t="n"/>
      <c r="N62" s="4">
        <f>IF(D62="","",IF(M62&lt;&gt;"",IF(M62-D62&gt;=2,"Đủ","Chưa"),IF(NOW()-D62&gt;=2,"Đủ","Chưa")))</f>
        <v/>
      </c>
      <c r="O62" s="8">
        <f>IF(L62="","",L62*0.05)</f>
        <v/>
      </c>
      <c r="P62" s="8">
        <f>IF(OR(L62="",C62=""),"",L62*0.95-C62)</f>
        <v/>
      </c>
      <c r="Q62" s="5" t="n"/>
    </row>
    <row r="63">
      <c r="A63" s="4">
        <f>IF(B63="","",ROW()-3)</f>
        <v/>
      </c>
      <c r="B63" s="5" t="n"/>
      <c r="C63" s="6" t="n"/>
      <c r="D63" s="7" t="n"/>
      <c r="E63" s="8">
        <f>IF(C63="","",C63*1.35)</f>
        <v/>
      </c>
      <c r="F63" s="9" t="n"/>
      <c r="G63" s="5" t="n"/>
      <c r="H63" s="6" t="n"/>
      <c r="I63" s="6" t="n"/>
      <c r="J63" s="8">
        <f>IF(OR(I63="",H63=""),"",MAX(0,I63-H63))</f>
        <v/>
      </c>
      <c r="K63" s="7" t="n"/>
      <c r="L63" s="6" t="n"/>
      <c r="M63" s="7" t="n"/>
      <c r="N63" s="4">
        <f>IF(D63="","",IF(M63&lt;&gt;"",IF(M63-D63&gt;=2,"Đủ","Chưa"),IF(NOW()-D63&gt;=2,"Đủ","Chưa")))</f>
        <v/>
      </c>
      <c r="O63" s="8">
        <f>IF(L63="","",L63*0.05)</f>
        <v/>
      </c>
      <c r="P63" s="8">
        <f>IF(OR(L63="",C63=""),"",L63*0.95-C63)</f>
        <v/>
      </c>
      <c r="Q63" s="5" t="n"/>
    </row>
    <row r="64">
      <c r="A64" s="4">
        <f>IF(B64="","",ROW()-3)</f>
        <v/>
      </c>
      <c r="B64" s="5" t="n"/>
      <c r="C64" s="6" t="n"/>
      <c r="D64" s="7" t="n"/>
      <c r="E64" s="8">
        <f>IF(C64="","",C64*1.35)</f>
        <v/>
      </c>
      <c r="F64" s="9" t="n"/>
      <c r="G64" s="5" t="n"/>
      <c r="H64" s="6" t="n"/>
      <c r="I64" s="6" t="n"/>
      <c r="J64" s="8">
        <f>IF(OR(I64="",H64=""),"",MAX(0,I64-H64))</f>
        <v/>
      </c>
      <c r="K64" s="7" t="n"/>
      <c r="L64" s="6" t="n"/>
      <c r="M64" s="7" t="n"/>
      <c r="N64" s="4">
        <f>IF(D64="","",IF(M64&lt;&gt;"",IF(M64-D64&gt;=2,"Đủ","Chưa"),IF(NOW()-D64&gt;=2,"Đủ","Chưa")))</f>
        <v/>
      </c>
      <c r="O64" s="8">
        <f>IF(L64="","",L64*0.05)</f>
        <v/>
      </c>
      <c r="P64" s="8">
        <f>IF(OR(L64="",C64=""),"",L64*0.95-C64)</f>
        <v/>
      </c>
      <c r="Q64" s="5" t="n"/>
    </row>
    <row r="65">
      <c r="A65" s="4">
        <f>IF(B65="","",ROW()-3)</f>
        <v/>
      </c>
      <c r="B65" s="5" t="n"/>
      <c r="C65" s="6" t="n"/>
      <c r="D65" s="7" t="n"/>
      <c r="E65" s="8">
        <f>IF(C65="","",C65*1.35)</f>
        <v/>
      </c>
      <c r="F65" s="9" t="n"/>
      <c r="G65" s="5" t="n"/>
      <c r="H65" s="6" t="n"/>
      <c r="I65" s="6" t="n"/>
      <c r="J65" s="8">
        <f>IF(OR(I65="",H65=""),"",MAX(0,I65-H65))</f>
        <v/>
      </c>
      <c r="K65" s="7" t="n"/>
      <c r="L65" s="6" t="n"/>
      <c r="M65" s="7" t="n"/>
      <c r="N65" s="4">
        <f>IF(D65="","",IF(M65&lt;&gt;"",IF(M65-D65&gt;=2,"Đủ","Chưa"),IF(NOW()-D65&gt;=2,"Đủ","Chưa")))</f>
        <v/>
      </c>
      <c r="O65" s="8">
        <f>IF(L65="","",L65*0.05)</f>
        <v/>
      </c>
      <c r="P65" s="8">
        <f>IF(OR(L65="",C65=""),"",L65*0.95-C65)</f>
        <v/>
      </c>
      <c r="Q65" s="5" t="n"/>
    </row>
    <row r="66">
      <c r="A66" s="4">
        <f>IF(B66="","",ROW()-3)</f>
        <v/>
      </c>
      <c r="B66" s="5" t="n"/>
      <c r="C66" s="6" t="n"/>
      <c r="D66" s="7" t="n"/>
      <c r="E66" s="8">
        <f>IF(C66="","",C66*1.35)</f>
        <v/>
      </c>
      <c r="F66" s="9" t="n"/>
      <c r="G66" s="5" t="n"/>
      <c r="H66" s="6" t="n"/>
      <c r="I66" s="6" t="n"/>
      <c r="J66" s="8">
        <f>IF(OR(I66="",H66=""),"",MAX(0,I66-H66))</f>
        <v/>
      </c>
      <c r="K66" s="7" t="n"/>
      <c r="L66" s="6" t="n"/>
      <c r="M66" s="7" t="n"/>
      <c r="N66" s="4">
        <f>IF(D66="","",IF(M66&lt;&gt;"",IF(M66-D66&gt;=2,"Đủ","Chưa"),IF(NOW()-D66&gt;=2,"Đủ","Chưa")))</f>
        <v/>
      </c>
      <c r="O66" s="8">
        <f>IF(L66="","",L66*0.05)</f>
        <v/>
      </c>
      <c r="P66" s="8">
        <f>IF(OR(L66="",C66=""),"",L66*0.95-C66)</f>
        <v/>
      </c>
      <c r="Q66" s="5" t="n"/>
    </row>
    <row r="67">
      <c r="A67" s="4">
        <f>IF(B67="","",ROW()-3)</f>
        <v/>
      </c>
      <c r="B67" s="5" t="n"/>
      <c r="C67" s="6" t="n"/>
      <c r="D67" s="7" t="n"/>
      <c r="E67" s="8">
        <f>IF(C67="","",C67*1.35)</f>
        <v/>
      </c>
      <c r="F67" s="9" t="n"/>
      <c r="G67" s="5" t="n"/>
      <c r="H67" s="6" t="n"/>
      <c r="I67" s="6" t="n"/>
      <c r="J67" s="8">
        <f>IF(OR(I67="",H67=""),"",MAX(0,I67-H67))</f>
        <v/>
      </c>
      <c r="K67" s="7" t="n"/>
      <c r="L67" s="6" t="n"/>
      <c r="M67" s="7" t="n"/>
      <c r="N67" s="4">
        <f>IF(D67="","",IF(M67&lt;&gt;"",IF(M67-D67&gt;=2,"Đủ","Chưa"),IF(NOW()-D67&gt;=2,"Đủ","Chưa")))</f>
        <v/>
      </c>
      <c r="O67" s="8">
        <f>IF(L67="","",L67*0.05)</f>
        <v/>
      </c>
      <c r="P67" s="8">
        <f>IF(OR(L67="",C67=""),"",L67*0.95-C67)</f>
        <v/>
      </c>
      <c r="Q67" s="5" t="n"/>
    </row>
    <row r="68">
      <c r="A68" s="4">
        <f>IF(B68="","",ROW()-3)</f>
        <v/>
      </c>
      <c r="B68" s="5" t="n"/>
      <c r="C68" s="6" t="n"/>
      <c r="D68" s="7" t="n"/>
      <c r="E68" s="8">
        <f>IF(C68="","",C68*1.35)</f>
        <v/>
      </c>
      <c r="F68" s="9" t="n"/>
      <c r="G68" s="5" t="n"/>
      <c r="H68" s="6" t="n"/>
      <c r="I68" s="6" t="n"/>
      <c r="J68" s="8">
        <f>IF(OR(I68="",H68=""),"",MAX(0,I68-H68))</f>
        <v/>
      </c>
      <c r="K68" s="7" t="n"/>
      <c r="L68" s="6" t="n"/>
      <c r="M68" s="7" t="n"/>
      <c r="N68" s="4">
        <f>IF(D68="","",IF(M68&lt;&gt;"",IF(M68-D68&gt;=2,"Đủ","Chưa"),IF(NOW()-D68&gt;=2,"Đủ","Chưa")))</f>
        <v/>
      </c>
      <c r="O68" s="8">
        <f>IF(L68="","",L68*0.05)</f>
        <v/>
      </c>
      <c r="P68" s="8">
        <f>IF(OR(L68="",C68=""),"",L68*0.95-C68)</f>
        <v/>
      </c>
      <c r="Q68" s="5" t="n"/>
    </row>
    <row r="69">
      <c r="A69" s="4">
        <f>IF(B69="","",ROW()-3)</f>
        <v/>
      </c>
      <c r="B69" s="5" t="n"/>
      <c r="C69" s="6" t="n"/>
      <c r="D69" s="7" t="n"/>
      <c r="E69" s="8">
        <f>IF(C69="","",C69*1.35)</f>
        <v/>
      </c>
      <c r="F69" s="9" t="n"/>
      <c r="G69" s="5" t="n"/>
      <c r="H69" s="6" t="n"/>
      <c r="I69" s="6" t="n"/>
      <c r="J69" s="8">
        <f>IF(OR(I69="",H69=""),"",MAX(0,I69-H69))</f>
        <v/>
      </c>
      <c r="K69" s="7" t="n"/>
      <c r="L69" s="6" t="n"/>
      <c r="M69" s="7" t="n"/>
      <c r="N69" s="4">
        <f>IF(D69="","",IF(M69&lt;&gt;"",IF(M69-D69&gt;=2,"Đủ","Chưa"),IF(NOW()-D69&gt;=2,"Đủ","Chưa")))</f>
        <v/>
      </c>
      <c r="O69" s="8">
        <f>IF(L69="","",L69*0.05)</f>
        <v/>
      </c>
      <c r="P69" s="8">
        <f>IF(OR(L69="",C69=""),"",L69*0.95-C69)</f>
        <v/>
      </c>
      <c r="Q69" s="5" t="n"/>
    </row>
    <row r="70">
      <c r="A70" s="4">
        <f>IF(B70="","",ROW()-3)</f>
        <v/>
      </c>
      <c r="B70" s="5" t="n"/>
      <c r="C70" s="6" t="n"/>
      <c r="D70" s="7" t="n"/>
      <c r="E70" s="8">
        <f>IF(C70="","",C70*1.35)</f>
        <v/>
      </c>
      <c r="F70" s="9" t="n"/>
      <c r="G70" s="5" t="n"/>
      <c r="H70" s="6" t="n"/>
      <c r="I70" s="6" t="n"/>
      <c r="J70" s="8">
        <f>IF(OR(I70="",H70=""),"",MAX(0,I70-H70))</f>
        <v/>
      </c>
      <c r="K70" s="7" t="n"/>
      <c r="L70" s="6" t="n"/>
      <c r="M70" s="7" t="n"/>
      <c r="N70" s="4">
        <f>IF(D70="","",IF(M70&lt;&gt;"",IF(M70-D70&gt;=2,"Đủ","Chưa"),IF(NOW()-D70&gt;=2,"Đủ","Chưa")))</f>
        <v/>
      </c>
      <c r="O70" s="8">
        <f>IF(L70="","",L70*0.05)</f>
        <v/>
      </c>
      <c r="P70" s="8">
        <f>IF(OR(L70="",C70=""),"",L70*0.95-C70)</f>
        <v/>
      </c>
      <c r="Q70" s="5" t="n"/>
    </row>
    <row r="71">
      <c r="A71" s="4">
        <f>IF(B71="","",ROW()-3)</f>
        <v/>
      </c>
      <c r="B71" s="5" t="n"/>
      <c r="C71" s="6" t="n"/>
      <c r="D71" s="7" t="n"/>
      <c r="E71" s="8">
        <f>IF(C71="","",C71*1.35)</f>
        <v/>
      </c>
      <c r="F71" s="9" t="n"/>
      <c r="G71" s="5" t="n"/>
      <c r="H71" s="6" t="n"/>
      <c r="I71" s="6" t="n"/>
      <c r="J71" s="8">
        <f>IF(OR(I71="",H71=""),"",MAX(0,I71-H71))</f>
        <v/>
      </c>
      <c r="K71" s="7" t="n"/>
      <c r="L71" s="6" t="n"/>
      <c r="M71" s="7" t="n"/>
      <c r="N71" s="4">
        <f>IF(D71="","",IF(M71&lt;&gt;"",IF(M71-D71&gt;=2,"Đủ","Chưa"),IF(NOW()-D71&gt;=2,"Đủ","Chưa")))</f>
        <v/>
      </c>
      <c r="O71" s="8">
        <f>IF(L71="","",L71*0.05)</f>
        <v/>
      </c>
      <c r="P71" s="8">
        <f>IF(OR(L71="",C71=""),"",L71*0.95-C71)</f>
        <v/>
      </c>
      <c r="Q71" s="5" t="n"/>
    </row>
    <row r="72">
      <c r="A72" s="4">
        <f>IF(B72="","",ROW()-3)</f>
        <v/>
      </c>
      <c r="B72" s="5" t="n"/>
      <c r="C72" s="6" t="n"/>
      <c r="D72" s="7" t="n"/>
      <c r="E72" s="8">
        <f>IF(C72="","",C72*1.35)</f>
        <v/>
      </c>
      <c r="F72" s="9" t="n"/>
      <c r="G72" s="5" t="n"/>
      <c r="H72" s="6" t="n"/>
      <c r="I72" s="6" t="n"/>
      <c r="J72" s="8">
        <f>IF(OR(I72="",H72=""),"",MAX(0,I72-H72))</f>
        <v/>
      </c>
      <c r="K72" s="7" t="n"/>
      <c r="L72" s="6" t="n"/>
      <c r="M72" s="7" t="n"/>
      <c r="N72" s="4">
        <f>IF(D72="","",IF(M72&lt;&gt;"",IF(M72-D72&gt;=2,"Đủ","Chưa"),IF(NOW()-D72&gt;=2,"Đủ","Chưa")))</f>
        <v/>
      </c>
      <c r="O72" s="8">
        <f>IF(L72="","",L72*0.05)</f>
        <v/>
      </c>
      <c r="P72" s="8">
        <f>IF(OR(L72="",C72=""),"",L72*0.95-C72)</f>
        <v/>
      </c>
      <c r="Q72" s="5" t="n"/>
    </row>
    <row r="73">
      <c r="A73" s="4">
        <f>IF(B73="","",ROW()-3)</f>
        <v/>
      </c>
      <c r="B73" s="5" t="n"/>
      <c r="C73" s="6" t="n"/>
      <c r="D73" s="7" t="n"/>
      <c r="E73" s="8">
        <f>IF(C73="","",C73*1.35)</f>
        <v/>
      </c>
      <c r="F73" s="9" t="n"/>
      <c r="G73" s="5" t="n"/>
      <c r="H73" s="6" t="n"/>
      <c r="I73" s="6" t="n"/>
      <c r="J73" s="8">
        <f>IF(OR(I73="",H73=""),"",MAX(0,I73-H73))</f>
        <v/>
      </c>
      <c r="K73" s="7" t="n"/>
      <c r="L73" s="6" t="n"/>
      <c r="M73" s="7" t="n"/>
      <c r="N73" s="4">
        <f>IF(D73="","",IF(M73&lt;&gt;"",IF(M73-D73&gt;=2,"Đủ","Chưa"),IF(NOW()-D73&gt;=2,"Đủ","Chưa")))</f>
        <v/>
      </c>
      <c r="O73" s="8">
        <f>IF(L73="","",L73*0.05)</f>
        <v/>
      </c>
      <c r="P73" s="8">
        <f>IF(OR(L73="",C73=""),"",L73*0.95-C73)</f>
        <v/>
      </c>
      <c r="Q73" s="5" t="n"/>
    </row>
    <row r="74">
      <c r="A74" s="4">
        <f>IF(B74="","",ROW()-3)</f>
        <v/>
      </c>
      <c r="B74" s="5" t="n"/>
      <c r="C74" s="6" t="n"/>
      <c r="D74" s="7" t="n"/>
      <c r="E74" s="8">
        <f>IF(C74="","",C74*1.35)</f>
        <v/>
      </c>
      <c r="F74" s="9" t="n"/>
      <c r="G74" s="5" t="n"/>
      <c r="H74" s="6" t="n"/>
      <c r="I74" s="6" t="n"/>
      <c r="J74" s="8">
        <f>IF(OR(I74="",H74=""),"",MAX(0,I74-H74))</f>
        <v/>
      </c>
      <c r="K74" s="7" t="n"/>
      <c r="L74" s="6" t="n"/>
      <c r="M74" s="7" t="n"/>
      <c r="N74" s="4">
        <f>IF(D74="","",IF(M74&lt;&gt;"",IF(M74-D74&gt;=2,"Đủ","Chưa"),IF(NOW()-D74&gt;=2,"Đủ","Chưa")))</f>
        <v/>
      </c>
      <c r="O74" s="8">
        <f>IF(L74="","",L74*0.05)</f>
        <v/>
      </c>
      <c r="P74" s="8">
        <f>IF(OR(L74="",C74=""),"",L74*0.95-C74)</f>
        <v/>
      </c>
      <c r="Q74" s="5" t="n"/>
    </row>
    <row r="75">
      <c r="A75" s="4">
        <f>IF(B75="","",ROW()-3)</f>
        <v/>
      </c>
      <c r="B75" s="5" t="n"/>
      <c r="C75" s="6" t="n"/>
      <c r="D75" s="7" t="n"/>
      <c r="E75" s="8">
        <f>IF(C75="","",C75*1.35)</f>
        <v/>
      </c>
      <c r="F75" s="9" t="n"/>
      <c r="G75" s="5" t="n"/>
      <c r="H75" s="6" t="n"/>
      <c r="I75" s="6" t="n"/>
      <c r="J75" s="8">
        <f>IF(OR(I75="",H75=""),"",MAX(0,I75-H75))</f>
        <v/>
      </c>
      <c r="K75" s="7" t="n"/>
      <c r="L75" s="6" t="n"/>
      <c r="M75" s="7" t="n"/>
      <c r="N75" s="4">
        <f>IF(D75="","",IF(M75&lt;&gt;"",IF(M75-D75&gt;=2,"Đủ","Chưa"),IF(NOW()-D75&gt;=2,"Đủ","Chưa")))</f>
        <v/>
      </c>
      <c r="O75" s="8">
        <f>IF(L75="","",L75*0.05)</f>
        <v/>
      </c>
      <c r="P75" s="8">
        <f>IF(OR(L75="",C75=""),"",L75*0.95-C75)</f>
        <v/>
      </c>
      <c r="Q75" s="5" t="n"/>
    </row>
    <row r="76">
      <c r="A76" s="4">
        <f>IF(B76="","",ROW()-3)</f>
        <v/>
      </c>
      <c r="B76" s="5" t="n"/>
      <c r="C76" s="6" t="n"/>
      <c r="D76" s="7" t="n"/>
      <c r="E76" s="8">
        <f>IF(C76="","",C76*1.35)</f>
        <v/>
      </c>
      <c r="F76" s="9" t="n"/>
      <c r="G76" s="5" t="n"/>
      <c r="H76" s="6" t="n"/>
      <c r="I76" s="6" t="n"/>
      <c r="J76" s="8">
        <f>IF(OR(I76="",H76=""),"",MAX(0,I76-H76))</f>
        <v/>
      </c>
      <c r="K76" s="7" t="n"/>
      <c r="L76" s="6" t="n"/>
      <c r="M76" s="7" t="n"/>
      <c r="N76" s="4">
        <f>IF(D76="","",IF(M76&lt;&gt;"",IF(M76-D76&gt;=2,"Đủ","Chưa"),IF(NOW()-D76&gt;=2,"Đủ","Chưa")))</f>
        <v/>
      </c>
      <c r="O76" s="8">
        <f>IF(L76="","",L76*0.05)</f>
        <v/>
      </c>
      <c r="P76" s="8">
        <f>IF(OR(L76="",C76=""),"",L76*0.95-C76)</f>
        <v/>
      </c>
      <c r="Q76" s="5" t="n"/>
    </row>
    <row r="77">
      <c r="A77" s="4">
        <f>IF(B77="","",ROW()-3)</f>
        <v/>
      </c>
      <c r="B77" s="5" t="n"/>
      <c r="C77" s="6" t="n"/>
      <c r="D77" s="7" t="n"/>
      <c r="E77" s="8">
        <f>IF(C77="","",C77*1.35)</f>
        <v/>
      </c>
      <c r="F77" s="9" t="n"/>
      <c r="G77" s="5" t="n"/>
      <c r="H77" s="6" t="n"/>
      <c r="I77" s="6" t="n"/>
      <c r="J77" s="8">
        <f>IF(OR(I77="",H77=""),"",MAX(0,I77-H77))</f>
        <v/>
      </c>
      <c r="K77" s="7" t="n"/>
      <c r="L77" s="6" t="n"/>
      <c r="M77" s="7" t="n"/>
      <c r="N77" s="4">
        <f>IF(D77="","",IF(M77&lt;&gt;"",IF(M77-D77&gt;=2,"Đủ","Chưa"),IF(NOW()-D77&gt;=2,"Đủ","Chưa")))</f>
        <v/>
      </c>
      <c r="O77" s="8">
        <f>IF(L77="","",L77*0.05)</f>
        <v/>
      </c>
      <c r="P77" s="8">
        <f>IF(OR(L77="",C77=""),"",L77*0.95-C77)</f>
        <v/>
      </c>
      <c r="Q77" s="5" t="n"/>
    </row>
    <row r="78">
      <c r="A78" s="4">
        <f>IF(B78="","",ROW()-3)</f>
        <v/>
      </c>
      <c r="B78" s="5" t="n"/>
      <c r="C78" s="6" t="n"/>
      <c r="D78" s="7" t="n"/>
      <c r="E78" s="8">
        <f>IF(C78="","",C78*1.35)</f>
        <v/>
      </c>
      <c r="F78" s="9" t="n"/>
      <c r="G78" s="5" t="n"/>
      <c r="H78" s="6" t="n"/>
      <c r="I78" s="6" t="n"/>
      <c r="J78" s="8">
        <f>IF(OR(I78="",H78=""),"",MAX(0,I78-H78))</f>
        <v/>
      </c>
      <c r="K78" s="7" t="n"/>
      <c r="L78" s="6" t="n"/>
      <c r="M78" s="7" t="n"/>
      <c r="N78" s="4">
        <f>IF(D78="","",IF(M78&lt;&gt;"",IF(M78-D78&gt;=2,"Đủ","Chưa"),IF(NOW()-D78&gt;=2,"Đủ","Chưa")))</f>
        <v/>
      </c>
      <c r="O78" s="8">
        <f>IF(L78="","",L78*0.05)</f>
        <v/>
      </c>
      <c r="P78" s="8">
        <f>IF(OR(L78="",C78=""),"",L78*0.95-C78)</f>
        <v/>
      </c>
      <c r="Q78" s="5" t="n"/>
    </row>
    <row r="79">
      <c r="A79" s="4">
        <f>IF(B79="","",ROW()-3)</f>
        <v/>
      </c>
      <c r="B79" s="5" t="n"/>
      <c r="C79" s="6" t="n"/>
      <c r="D79" s="7" t="n"/>
      <c r="E79" s="8">
        <f>IF(C79="","",C79*1.35)</f>
        <v/>
      </c>
      <c r="F79" s="9" t="n"/>
      <c r="G79" s="5" t="n"/>
      <c r="H79" s="6" t="n"/>
      <c r="I79" s="6" t="n"/>
      <c r="J79" s="8">
        <f>IF(OR(I79="",H79=""),"",MAX(0,I79-H79))</f>
        <v/>
      </c>
      <c r="K79" s="7" t="n"/>
      <c r="L79" s="6" t="n"/>
      <c r="M79" s="7" t="n"/>
      <c r="N79" s="4">
        <f>IF(D79="","",IF(M79&lt;&gt;"",IF(M79-D79&gt;=2,"Đủ","Chưa"),IF(NOW()-D79&gt;=2,"Đủ","Chưa")))</f>
        <v/>
      </c>
      <c r="O79" s="8">
        <f>IF(L79="","",L79*0.05)</f>
        <v/>
      </c>
      <c r="P79" s="8">
        <f>IF(OR(L79="",C79=""),"",L79*0.95-C79)</f>
        <v/>
      </c>
      <c r="Q79" s="5" t="n"/>
    </row>
    <row r="80">
      <c r="A80" s="4">
        <f>IF(B80="","",ROW()-3)</f>
        <v/>
      </c>
      <c r="B80" s="5" t="n"/>
      <c r="C80" s="6" t="n"/>
      <c r="D80" s="7" t="n"/>
      <c r="E80" s="8">
        <f>IF(C80="","",C80*1.35)</f>
        <v/>
      </c>
      <c r="F80" s="9" t="n"/>
      <c r="G80" s="5" t="n"/>
      <c r="H80" s="6" t="n"/>
      <c r="I80" s="6" t="n"/>
      <c r="J80" s="8">
        <f>IF(OR(I80="",H80=""),"",MAX(0,I80-H80))</f>
        <v/>
      </c>
      <c r="K80" s="7" t="n"/>
      <c r="L80" s="6" t="n"/>
      <c r="M80" s="7" t="n"/>
      <c r="N80" s="4">
        <f>IF(D80="","",IF(M80&lt;&gt;"",IF(M80-D80&gt;=2,"Đủ","Chưa"),IF(NOW()-D80&gt;=2,"Đủ","Chưa")))</f>
        <v/>
      </c>
      <c r="O80" s="8">
        <f>IF(L80="","",L80*0.05)</f>
        <v/>
      </c>
      <c r="P80" s="8">
        <f>IF(OR(L80="",C80=""),"",L80*0.95-C80)</f>
        <v/>
      </c>
      <c r="Q80" s="5" t="n"/>
    </row>
    <row r="81">
      <c r="A81" s="4">
        <f>IF(B81="","",ROW()-3)</f>
        <v/>
      </c>
      <c r="B81" s="5" t="n"/>
      <c r="C81" s="6" t="n"/>
      <c r="D81" s="7" t="n"/>
      <c r="E81" s="8">
        <f>IF(C81="","",C81*1.35)</f>
        <v/>
      </c>
      <c r="F81" s="9" t="n"/>
      <c r="G81" s="5" t="n"/>
      <c r="H81" s="6" t="n"/>
      <c r="I81" s="6" t="n"/>
      <c r="J81" s="8">
        <f>IF(OR(I81="",H81=""),"",MAX(0,I81-H81))</f>
        <v/>
      </c>
      <c r="K81" s="7" t="n"/>
      <c r="L81" s="6" t="n"/>
      <c r="M81" s="7" t="n"/>
      <c r="N81" s="4">
        <f>IF(D81="","",IF(M81&lt;&gt;"",IF(M81-D81&gt;=2,"Đủ","Chưa"),IF(NOW()-D81&gt;=2,"Đủ","Chưa")))</f>
        <v/>
      </c>
      <c r="O81" s="8">
        <f>IF(L81="","",L81*0.05)</f>
        <v/>
      </c>
      <c r="P81" s="8">
        <f>IF(OR(L81="",C81=""),"",L81*0.95-C81)</f>
        <v/>
      </c>
      <c r="Q81" s="5" t="n"/>
    </row>
    <row r="82">
      <c r="A82" s="4">
        <f>IF(B82="","",ROW()-3)</f>
        <v/>
      </c>
      <c r="B82" s="5" t="n"/>
      <c r="C82" s="6" t="n"/>
      <c r="D82" s="7" t="n"/>
      <c r="E82" s="8">
        <f>IF(C82="","",C82*1.35)</f>
        <v/>
      </c>
      <c r="F82" s="9" t="n"/>
      <c r="G82" s="5" t="n"/>
      <c r="H82" s="6" t="n"/>
      <c r="I82" s="6" t="n"/>
      <c r="J82" s="8">
        <f>IF(OR(I82="",H82=""),"",MAX(0,I82-H82))</f>
        <v/>
      </c>
      <c r="K82" s="7" t="n"/>
      <c r="L82" s="6" t="n"/>
      <c r="M82" s="7" t="n"/>
      <c r="N82" s="4">
        <f>IF(D82="","",IF(M82&lt;&gt;"",IF(M82-D82&gt;=2,"Đủ","Chưa"),IF(NOW()-D82&gt;=2,"Đủ","Chưa")))</f>
        <v/>
      </c>
      <c r="O82" s="8">
        <f>IF(L82="","",L82*0.05)</f>
        <v/>
      </c>
      <c r="P82" s="8">
        <f>IF(OR(L82="",C82=""),"",L82*0.95-C82)</f>
        <v/>
      </c>
      <c r="Q82" s="5" t="n"/>
    </row>
    <row r="83">
      <c r="A83" s="4">
        <f>IF(B83="","",ROW()-3)</f>
        <v/>
      </c>
      <c r="B83" s="5" t="n"/>
      <c r="C83" s="6" t="n"/>
      <c r="D83" s="7" t="n"/>
      <c r="E83" s="8">
        <f>IF(C83="","",C83*1.35)</f>
        <v/>
      </c>
      <c r="F83" s="9" t="n"/>
      <c r="G83" s="5" t="n"/>
      <c r="H83" s="6" t="n"/>
      <c r="I83" s="6" t="n"/>
      <c r="J83" s="8">
        <f>IF(OR(I83="",H83=""),"",MAX(0,I83-H83))</f>
        <v/>
      </c>
      <c r="K83" s="7" t="n"/>
      <c r="L83" s="6" t="n"/>
      <c r="M83" s="7" t="n"/>
      <c r="N83" s="4">
        <f>IF(D83="","",IF(M83&lt;&gt;"",IF(M83-D83&gt;=2,"Đủ","Chưa"),IF(NOW()-D83&gt;=2,"Đủ","Chưa")))</f>
        <v/>
      </c>
      <c r="O83" s="8">
        <f>IF(L83="","",L83*0.05)</f>
        <v/>
      </c>
      <c r="P83" s="8">
        <f>IF(OR(L83="",C83=""),"",L83*0.95-C83)</f>
        <v/>
      </c>
      <c r="Q83" s="5" t="n"/>
    </row>
    <row r="84">
      <c r="A84" s="4">
        <f>IF(B84="","",ROW()-3)</f>
        <v/>
      </c>
      <c r="B84" s="5" t="n"/>
      <c r="C84" s="6" t="n"/>
      <c r="D84" s="7" t="n"/>
      <c r="E84" s="8">
        <f>IF(C84="","",C84*1.35)</f>
        <v/>
      </c>
      <c r="F84" s="9" t="n"/>
      <c r="G84" s="5" t="n"/>
      <c r="H84" s="6" t="n"/>
      <c r="I84" s="6" t="n"/>
      <c r="J84" s="8">
        <f>IF(OR(I84="",H84=""),"",MAX(0,I84-H84))</f>
        <v/>
      </c>
      <c r="K84" s="7" t="n"/>
      <c r="L84" s="6" t="n"/>
      <c r="M84" s="7" t="n"/>
      <c r="N84" s="4">
        <f>IF(D84="","",IF(M84&lt;&gt;"",IF(M84-D84&gt;=2,"Đủ","Chưa"),IF(NOW()-D84&gt;=2,"Đủ","Chưa")))</f>
        <v/>
      </c>
      <c r="O84" s="8">
        <f>IF(L84="","",L84*0.05)</f>
        <v/>
      </c>
      <c r="P84" s="8">
        <f>IF(OR(L84="",C84=""),"",L84*0.95-C84)</f>
        <v/>
      </c>
      <c r="Q84" s="5" t="n"/>
    </row>
    <row r="85">
      <c r="A85" s="4">
        <f>IF(B85="","",ROW()-3)</f>
        <v/>
      </c>
      <c r="B85" s="5" t="n"/>
      <c r="C85" s="6" t="n"/>
      <c r="D85" s="7" t="n"/>
      <c r="E85" s="8">
        <f>IF(C85="","",C85*1.35)</f>
        <v/>
      </c>
      <c r="F85" s="9" t="n"/>
      <c r="G85" s="5" t="n"/>
      <c r="H85" s="6" t="n"/>
      <c r="I85" s="6" t="n"/>
      <c r="J85" s="8">
        <f>IF(OR(I85="",H85=""),"",MAX(0,I85-H85))</f>
        <v/>
      </c>
      <c r="K85" s="7" t="n"/>
      <c r="L85" s="6" t="n"/>
      <c r="M85" s="7" t="n"/>
      <c r="N85" s="4">
        <f>IF(D85="","",IF(M85&lt;&gt;"",IF(M85-D85&gt;=2,"Đủ","Chưa"),IF(NOW()-D85&gt;=2,"Đủ","Chưa")))</f>
        <v/>
      </c>
      <c r="O85" s="8">
        <f>IF(L85="","",L85*0.05)</f>
        <v/>
      </c>
      <c r="P85" s="8">
        <f>IF(OR(L85="",C85=""),"",L85*0.95-C85)</f>
        <v/>
      </c>
      <c r="Q85" s="5" t="n"/>
    </row>
    <row r="86">
      <c r="A86" s="4">
        <f>IF(B86="","",ROW()-3)</f>
        <v/>
      </c>
      <c r="B86" s="5" t="n"/>
      <c r="C86" s="6" t="n"/>
      <c r="D86" s="7" t="n"/>
      <c r="E86" s="8">
        <f>IF(C86="","",C86*1.35)</f>
        <v/>
      </c>
      <c r="F86" s="9" t="n"/>
      <c r="G86" s="5" t="n"/>
      <c r="H86" s="6" t="n"/>
      <c r="I86" s="6" t="n"/>
      <c r="J86" s="8">
        <f>IF(OR(I86="",H86=""),"",MAX(0,I86-H86))</f>
        <v/>
      </c>
      <c r="K86" s="7" t="n"/>
      <c r="L86" s="6" t="n"/>
      <c r="M86" s="7" t="n"/>
      <c r="N86" s="4">
        <f>IF(D86="","",IF(M86&lt;&gt;"",IF(M86-D86&gt;=2,"Đủ","Chưa"),IF(NOW()-D86&gt;=2,"Đủ","Chưa")))</f>
        <v/>
      </c>
      <c r="O86" s="8">
        <f>IF(L86="","",L86*0.05)</f>
        <v/>
      </c>
      <c r="P86" s="8">
        <f>IF(OR(L86="",C86=""),"",L86*0.95-C86)</f>
        <v/>
      </c>
      <c r="Q86" s="5" t="n"/>
    </row>
    <row r="87">
      <c r="A87" s="4">
        <f>IF(B87="","",ROW()-3)</f>
        <v/>
      </c>
      <c r="B87" s="5" t="n"/>
      <c r="C87" s="6" t="n"/>
      <c r="D87" s="7" t="n"/>
      <c r="E87" s="8">
        <f>IF(C87="","",C87*1.35)</f>
        <v/>
      </c>
      <c r="F87" s="9" t="n"/>
      <c r="G87" s="5" t="n"/>
      <c r="H87" s="6" t="n"/>
      <c r="I87" s="6" t="n"/>
      <c r="J87" s="8">
        <f>IF(OR(I87="",H87=""),"",MAX(0,I87-H87))</f>
        <v/>
      </c>
      <c r="K87" s="7" t="n"/>
      <c r="L87" s="6" t="n"/>
      <c r="M87" s="7" t="n"/>
      <c r="N87" s="4">
        <f>IF(D87="","",IF(M87&lt;&gt;"",IF(M87-D87&gt;=2,"Đủ","Chưa"),IF(NOW()-D87&gt;=2,"Đủ","Chưa")))</f>
        <v/>
      </c>
      <c r="O87" s="8">
        <f>IF(L87="","",L87*0.05)</f>
        <v/>
      </c>
      <c r="P87" s="8">
        <f>IF(OR(L87="",C87=""),"",L87*0.95-C87)</f>
        <v/>
      </c>
      <c r="Q87" s="5" t="n"/>
    </row>
    <row r="88">
      <c r="A88" s="4">
        <f>IF(B88="","",ROW()-3)</f>
        <v/>
      </c>
      <c r="B88" s="5" t="n"/>
      <c r="C88" s="6" t="n"/>
      <c r="D88" s="7" t="n"/>
      <c r="E88" s="8">
        <f>IF(C88="","",C88*1.35)</f>
        <v/>
      </c>
      <c r="F88" s="9" t="n"/>
      <c r="G88" s="5" t="n"/>
      <c r="H88" s="6" t="n"/>
      <c r="I88" s="6" t="n"/>
      <c r="J88" s="8">
        <f>IF(OR(I88="",H88=""),"",MAX(0,I88-H88))</f>
        <v/>
      </c>
      <c r="K88" s="7" t="n"/>
      <c r="L88" s="6" t="n"/>
      <c r="M88" s="7" t="n"/>
      <c r="N88" s="4">
        <f>IF(D88="","",IF(M88&lt;&gt;"",IF(M88-D88&gt;=2,"Đủ","Chưa"),IF(NOW()-D88&gt;=2,"Đủ","Chưa")))</f>
        <v/>
      </c>
      <c r="O88" s="8">
        <f>IF(L88="","",L88*0.05)</f>
        <v/>
      </c>
      <c r="P88" s="8">
        <f>IF(OR(L88="",C88=""),"",L88*0.95-C88)</f>
        <v/>
      </c>
      <c r="Q88" s="5" t="n"/>
    </row>
    <row r="89">
      <c r="A89" s="4">
        <f>IF(B89="","",ROW()-3)</f>
        <v/>
      </c>
      <c r="B89" s="5" t="n"/>
      <c r="C89" s="6" t="n"/>
      <c r="D89" s="7" t="n"/>
      <c r="E89" s="8">
        <f>IF(C89="","",C89*1.35)</f>
        <v/>
      </c>
      <c r="F89" s="9" t="n"/>
      <c r="G89" s="5" t="n"/>
      <c r="H89" s="6" t="n"/>
      <c r="I89" s="6" t="n"/>
      <c r="J89" s="8">
        <f>IF(OR(I89="",H89=""),"",MAX(0,I89-H89))</f>
        <v/>
      </c>
      <c r="K89" s="7" t="n"/>
      <c r="L89" s="6" t="n"/>
      <c r="M89" s="7" t="n"/>
      <c r="N89" s="4">
        <f>IF(D89="","",IF(M89&lt;&gt;"",IF(M89-D89&gt;=2,"Đủ","Chưa"),IF(NOW()-D89&gt;=2,"Đủ","Chưa")))</f>
        <v/>
      </c>
      <c r="O89" s="8">
        <f>IF(L89="","",L89*0.05)</f>
        <v/>
      </c>
      <c r="P89" s="8">
        <f>IF(OR(L89="",C89=""),"",L89*0.95-C89)</f>
        <v/>
      </c>
      <c r="Q89" s="5" t="n"/>
    </row>
    <row r="90">
      <c r="A90" s="4">
        <f>IF(B90="","",ROW()-3)</f>
        <v/>
      </c>
      <c r="B90" s="5" t="n"/>
      <c r="C90" s="6" t="n"/>
      <c r="D90" s="7" t="n"/>
      <c r="E90" s="8">
        <f>IF(C90="","",C90*1.35)</f>
        <v/>
      </c>
      <c r="F90" s="9" t="n"/>
      <c r="G90" s="5" t="n"/>
      <c r="H90" s="6" t="n"/>
      <c r="I90" s="6" t="n"/>
      <c r="J90" s="8">
        <f>IF(OR(I90="",H90=""),"",MAX(0,I90-H90))</f>
        <v/>
      </c>
      <c r="K90" s="7" t="n"/>
      <c r="L90" s="6" t="n"/>
      <c r="M90" s="7" t="n"/>
      <c r="N90" s="4">
        <f>IF(D90="","",IF(M90&lt;&gt;"",IF(M90-D90&gt;=2,"Đủ","Chưa"),IF(NOW()-D90&gt;=2,"Đủ","Chưa")))</f>
        <v/>
      </c>
      <c r="O90" s="8">
        <f>IF(L90="","",L90*0.05)</f>
        <v/>
      </c>
      <c r="P90" s="8">
        <f>IF(OR(L90="",C90=""),"",L90*0.95-C90)</f>
        <v/>
      </c>
      <c r="Q90" s="5" t="n"/>
    </row>
    <row r="91">
      <c r="A91" s="4">
        <f>IF(B91="","",ROW()-3)</f>
        <v/>
      </c>
      <c r="B91" s="5" t="n"/>
      <c r="C91" s="6" t="n"/>
      <c r="D91" s="7" t="n"/>
      <c r="E91" s="8">
        <f>IF(C91="","",C91*1.35)</f>
        <v/>
      </c>
      <c r="F91" s="9" t="n"/>
      <c r="G91" s="5" t="n"/>
      <c r="H91" s="6" t="n"/>
      <c r="I91" s="6" t="n"/>
      <c r="J91" s="8">
        <f>IF(OR(I91="",H91=""),"",MAX(0,I91-H91))</f>
        <v/>
      </c>
      <c r="K91" s="7" t="n"/>
      <c r="L91" s="6" t="n"/>
      <c r="M91" s="7" t="n"/>
      <c r="N91" s="4">
        <f>IF(D91="","",IF(M91&lt;&gt;"",IF(M91-D91&gt;=2,"Đủ","Chưa"),IF(NOW()-D91&gt;=2,"Đủ","Chưa")))</f>
        <v/>
      </c>
      <c r="O91" s="8">
        <f>IF(L91="","",L91*0.05)</f>
        <v/>
      </c>
      <c r="P91" s="8">
        <f>IF(OR(L91="",C91=""),"",L91*0.95-C91)</f>
        <v/>
      </c>
      <c r="Q91" s="5" t="n"/>
    </row>
    <row r="92">
      <c r="A92" s="4">
        <f>IF(B92="","",ROW()-3)</f>
        <v/>
      </c>
      <c r="B92" s="5" t="n"/>
      <c r="C92" s="6" t="n"/>
      <c r="D92" s="7" t="n"/>
      <c r="E92" s="8">
        <f>IF(C92="","",C92*1.35)</f>
        <v/>
      </c>
      <c r="F92" s="9" t="n"/>
      <c r="G92" s="5" t="n"/>
      <c r="H92" s="6" t="n"/>
      <c r="I92" s="6" t="n"/>
      <c r="J92" s="8">
        <f>IF(OR(I92="",H92=""),"",MAX(0,I92-H92))</f>
        <v/>
      </c>
      <c r="K92" s="7" t="n"/>
      <c r="L92" s="6" t="n"/>
      <c r="M92" s="7" t="n"/>
      <c r="N92" s="4">
        <f>IF(D92="","",IF(M92&lt;&gt;"",IF(M92-D92&gt;=2,"Đủ","Chưa"),IF(NOW()-D92&gt;=2,"Đủ","Chưa")))</f>
        <v/>
      </c>
      <c r="O92" s="8">
        <f>IF(L92="","",L92*0.05)</f>
        <v/>
      </c>
      <c r="P92" s="8">
        <f>IF(OR(L92="",C92=""),"",L92*0.95-C92)</f>
        <v/>
      </c>
      <c r="Q92" s="5" t="n"/>
    </row>
    <row r="93">
      <c r="A93" s="4">
        <f>IF(B93="","",ROW()-3)</f>
        <v/>
      </c>
      <c r="B93" s="5" t="n"/>
      <c r="C93" s="6" t="n"/>
      <c r="D93" s="7" t="n"/>
      <c r="E93" s="8">
        <f>IF(C93="","",C93*1.35)</f>
        <v/>
      </c>
      <c r="F93" s="9" t="n"/>
      <c r="G93" s="5" t="n"/>
      <c r="H93" s="6" t="n"/>
      <c r="I93" s="6" t="n"/>
      <c r="J93" s="8">
        <f>IF(OR(I93="",H93=""),"",MAX(0,I93-H93))</f>
        <v/>
      </c>
      <c r="K93" s="7" t="n"/>
      <c r="L93" s="6" t="n"/>
      <c r="M93" s="7" t="n"/>
      <c r="N93" s="4">
        <f>IF(D93="","",IF(M93&lt;&gt;"",IF(M93-D93&gt;=2,"Đủ","Chưa"),IF(NOW()-D93&gt;=2,"Đủ","Chưa")))</f>
        <v/>
      </c>
      <c r="O93" s="8">
        <f>IF(L93="","",L93*0.05)</f>
        <v/>
      </c>
      <c r="P93" s="8">
        <f>IF(OR(L93="",C93=""),"",L93*0.95-C93)</f>
        <v/>
      </c>
      <c r="Q93" s="5" t="n"/>
    </row>
    <row r="94">
      <c r="A94" s="4">
        <f>IF(B94="","",ROW()-3)</f>
        <v/>
      </c>
      <c r="B94" s="5" t="n"/>
      <c r="C94" s="6" t="n"/>
      <c r="D94" s="7" t="n"/>
      <c r="E94" s="8">
        <f>IF(C94="","",C94*1.35)</f>
        <v/>
      </c>
      <c r="F94" s="9" t="n"/>
      <c r="G94" s="5" t="n"/>
      <c r="H94" s="6" t="n"/>
      <c r="I94" s="6" t="n"/>
      <c r="J94" s="8">
        <f>IF(OR(I94="",H94=""),"",MAX(0,I94-H94))</f>
        <v/>
      </c>
      <c r="K94" s="7" t="n"/>
      <c r="L94" s="6" t="n"/>
      <c r="M94" s="7" t="n"/>
      <c r="N94" s="4">
        <f>IF(D94="","",IF(M94&lt;&gt;"",IF(M94-D94&gt;=2,"Đủ","Chưa"),IF(NOW()-D94&gt;=2,"Đủ","Chưa")))</f>
        <v/>
      </c>
      <c r="O94" s="8">
        <f>IF(L94="","",L94*0.05)</f>
        <v/>
      </c>
      <c r="P94" s="8">
        <f>IF(OR(L94="",C94=""),"",L94*0.95-C94)</f>
        <v/>
      </c>
      <c r="Q94" s="5" t="n"/>
    </row>
    <row r="95">
      <c r="A95" s="4">
        <f>IF(B95="","",ROW()-3)</f>
        <v/>
      </c>
      <c r="B95" s="5" t="n"/>
      <c r="C95" s="6" t="n"/>
      <c r="D95" s="7" t="n"/>
      <c r="E95" s="8">
        <f>IF(C95="","",C95*1.35)</f>
        <v/>
      </c>
      <c r="F95" s="9" t="n"/>
      <c r="G95" s="5" t="n"/>
      <c r="H95" s="6" t="n"/>
      <c r="I95" s="6" t="n"/>
      <c r="J95" s="8">
        <f>IF(OR(I95="",H95=""),"",MAX(0,I95-H95))</f>
        <v/>
      </c>
      <c r="K95" s="7" t="n"/>
      <c r="L95" s="6" t="n"/>
      <c r="M95" s="7" t="n"/>
      <c r="N95" s="4">
        <f>IF(D95="","",IF(M95&lt;&gt;"",IF(M95-D95&gt;=2,"Đủ","Chưa"),IF(NOW()-D95&gt;=2,"Đủ","Chưa")))</f>
        <v/>
      </c>
      <c r="O95" s="8">
        <f>IF(L95="","",L95*0.05)</f>
        <v/>
      </c>
      <c r="P95" s="8">
        <f>IF(OR(L95="",C95=""),"",L95*0.95-C95)</f>
        <v/>
      </c>
      <c r="Q95" s="5" t="n"/>
    </row>
    <row r="96">
      <c r="A96" s="4">
        <f>IF(B96="","",ROW()-3)</f>
        <v/>
      </c>
      <c r="B96" s="5" t="n"/>
      <c r="C96" s="6" t="n"/>
      <c r="D96" s="7" t="n"/>
      <c r="E96" s="8">
        <f>IF(C96="","",C96*1.35)</f>
        <v/>
      </c>
      <c r="F96" s="9" t="n"/>
      <c r="G96" s="5" t="n"/>
      <c r="H96" s="6" t="n"/>
      <c r="I96" s="6" t="n"/>
      <c r="J96" s="8">
        <f>IF(OR(I96="",H96=""),"",MAX(0,I96-H96))</f>
        <v/>
      </c>
      <c r="K96" s="7" t="n"/>
      <c r="L96" s="6" t="n"/>
      <c r="M96" s="7" t="n"/>
      <c r="N96" s="4">
        <f>IF(D96="","",IF(M96&lt;&gt;"",IF(M96-D96&gt;=2,"Đủ","Chưa"),IF(NOW()-D96&gt;=2,"Đủ","Chưa")))</f>
        <v/>
      </c>
      <c r="O96" s="8">
        <f>IF(L96="","",L96*0.05)</f>
        <v/>
      </c>
      <c r="P96" s="8">
        <f>IF(OR(L96="",C96=""),"",L96*0.95-C96)</f>
        <v/>
      </c>
      <c r="Q96" s="5" t="n"/>
    </row>
    <row r="97">
      <c r="A97" s="4">
        <f>IF(B97="","",ROW()-3)</f>
        <v/>
      </c>
      <c r="B97" s="5" t="n"/>
      <c r="C97" s="6" t="n"/>
      <c r="D97" s="7" t="n"/>
      <c r="E97" s="8">
        <f>IF(C97="","",C97*1.35)</f>
        <v/>
      </c>
      <c r="F97" s="9" t="n"/>
      <c r="G97" s="5" t="n"/>
      <c r="H97" s="6" t="n"/>
      <c r="I97" s="6" t="n"/>
      <c r="J97" s="8">
        <f>IF(OR(I97="",H97=""),"",MAX(0,I97-H97))</f>
        <v/>
      </c>
      <c r="K97" s="7" t="n"/>
      <c r="L97" s="6" t="n"/>
      <c r="M97" s="7" t="n"/>
      <c r="N97" s="4">
        <f>IF(D97="","",IF(M97&lt;&gt;"",IF(M97-D97&gt;=2,"Đủ","Chưa"),IF(NOW()-D97&gt;=2,"Đủ","Chưa")))</f>
        <v/>
      </c>
      <c r="O97" s="8">
        <f>IF(L97="","",L97*0.05)</f>
        <v/>
      </c>
      <c r="P97" s="8">
        <f>IF(OR(L97="",C97=""),"",L97*0.95-C97)</f>
        <v/>
      </c>
      <c r="Q97" s="5" t="n"/>
    </row>
    <row r="98">
      <c r="A98" s="4">
        <f>IF(B98="","",ROW()-3)</f>
        <v/>
      </c>
      <c r="B98" s="5" t="n"/>
      <c r="C98" s="6" t="n"/>
      <c r="D98" s="7" t="n"/>
      <c r="E98" s="8">
        <f>IF(C98="","",C98*1.35)</f>
        <v/>
      </c>
      <c r="F98" s="9" t="n"/>
      <c r="G98" s="5" t="n"/>
      <c r="H98" s="6" t="n"/>
      <c r="I98" s="6" t="n"/>
      <c r="J98" s="8">
        <f>IF(OR(I98="",H98=""),"",MAX(0,I98-H98))</f>
        <v/>
      </c>
      <c r="K98" s="7" t="n"/>
      <c r="L98" s="6" t="n"/>
      <c r="M98" s="7" t="n"/>
      <c r="N98" s="4">
        <f>IF(D98="","",IF(M98&lt;&gt;"",IF(M98-D98&gt;=2,"Đủ","Chưa"),IF(NOW()-D98&gt;=2,"Đủ","Chưa")))</f>
        <v/>
      </c>
      <c r="O98" s="8">
        <f>IF(L98="","",L98*0.05)</f>
        <v/>
      </c>
      <c r="P98" s="8">
        <f>IF(OR(L98="",C98=""),"",L98*0.95-C98)</f>
        <v/>
      </c>
      <c r="Q98" s="5" t="n"/>
    </row>
    <row r="99">
      <c r="A99" s="4">
        <f>IF(B99="","",ROW()-3)</f>
        <v/>
      </c>
      <c r="B99" s="5" t="n"/>
      <c r="C99" s="6" t="n"/>
      <c r="D99" s="7" t="n"/>
      <c r="E99" s="8">
        <f>IF(C99="","",C99*1.35)</f>
        <v/>
      </c>
      <c r="F99" s="9" t="n"/>
      <c r="G99" s="5" t="n"/>
      <c r="H99" s="6" t="n"/>
      <c r="I99" s="6" t="n"/>
      <c r="J99" s="8">
        <f>IF(OR(I99="",H99=""),"",MAX(0,I99-H99))</f>
        <v/>
      </c>
      <c r="K99" s="7" t="n"/>
      <c r="L99" s="6" t="n"/>
      <c r="M99" s="7" t="n"/>
      <c r="N99" s="4">
        <f>IF(D99="","",IF(M99&lt;&gt;"",IF(M99-D99&gt;=2,"Đủ","Chưa"),IF(NOW()-D99&gt;=2,"Đủ","Chưa")))</f>
        <v/>
      </c>
      <c r="O99" s="8">
        <f>IF(L99="","",L99*0.05)</f>
        <v/>
      </c>
      <c r="P99" s="8">
        <f>IF(OR(L99="",C99=""),"",L99*0.95-C99)</f>
        <v/>
      </c>
      <c r="Q99" s="5" t="n"/>
    </row>
    <row r="100">
      <c r="A100" s="4">
        <f>IF(B100="","",ROW()-3)</f>
        <v/>
      </c>
      <c r="B100" s="5" t="n"/>
      <c r="C100" s="6" t="n"/>
      <c r="D100" s="7" t="n"/>
      <c r="E100" s="8">
        <f>IF(C100="","",C100*1.35)</f>
        <v/>
      </c>
      <c r="F100" s="9" t="n"/>
      <c r="G100" s="5" t="n"/>
      <c r="H100" s="6" t="n"/>
      <c r="I100" s="6" t="n"/>
      <c r="J100" s="8">
        <f>IF(OR(I100="",H100=""),"",MAX(0,I100-H100))</f>
        <v/>
      </c>
      <c r="K100" s="7" t="n"/>
      <c r="L100" s="6" t="n"/>
      <c r="M100" s="7" t="n"/>
      <c r="N100" s="4">
        <f>IF(D100="","",IF(M100&lt;&gt;"",IF(M100-D100&gt;=2,"Đủ","Chưa"),IF(NOW()-D100&gt;=2,"Đủ","Chưa")))</f>
        <v/>
      </c>
      <c r="O100" s="8">
        <f>IF(L100="","",L100*0.05)</f>
        <v/>
      </c>
      <c r="P100" s="8">
        <f>IF(OR(L100="",C100=""),"",L100*0.95-C100)</f>
        <v/>
      </c>
      <c r="Q100" s="5" t="n"/>
    </row>
    <row r="101">
      <c r="A101" s="4">
        <f>IF(B101="","",ROW()-3)</f>
        <v/>
      </c>
      <c r="B101" s="5" t="n"/>
      <c r="C101" s="6" t="n"/>
      <c r="D101" s="7" t="n"/>
      <c r="E101" s="8">
        <f>IF(C101="","",C101*1.35)</f>
        <v/>
      </c>
      <c r="F101" s="9" t="n"/>
      <c r="G101" s="5" t="n"/>
      <c r="H101" s="6" t="n"/>
      <c r="I101" s="6" t="n"/>
      <c r="J101" s="8">
        <f>IF(OR(I101="",H101=""),"",MAX(0,I101-H101))</f>
        <v/>
      </c>
      <c r="K101" s="7" t="n"/>
      <c r="L101" s="6" t="n"/>
      <c r="M101" s="7" t="n"/>
      <c r="N101" s="4">
        <f>IF(D101="","",IF(M101&lt;&gt;"",IF(M101-D101&gt;=2,"Đủ","Chưa"),IF(NOW()-D101&gt;=2,"Đủ","Chưa")))</f>
        <v/>
      </c>
      <c r="O101" s="8">
        <f>IF(L101="","",L101*0.05)</f>
        <v/>
      </c>
      <c r="P101" s="8">
        <f>IF(OR(L101="",C101=""),"",L101*0.95-C101)</f>
        <v/>
      </c>
      <c r="Q101" s="5" t="n"/>
    </row>
    <row r="102">
      <c r="A102" s="4">
        <f>IF(B102="","",ROW()-3)</f>
        <v/>
      </c>
      <c r="B102" s="5" t="n"/>
      <c r="C102" s="6" t="n"/>
      <c r="D102" s="7" t="n"/>
      <c r="E102" s="8">
        <f>IF(C102="","",C102*1.35)</f>
        <v/>
      </c>
      <c r="F102" s="9" t="n"/>
      <c r="G102" s="5" t="n"/>
      <c r="H102" s="6" t="n"/>
      <c r="I102" s="6" t="n"/>
      <c r="J102" s="8">
        <f>IF(OR(I102="",H102=""),"",MAX(0,I102-H102))</f>
        <v/>
      </c>
      <c r="K102" s="7" t="n"/>
      <c r="L102" s="6" t="n"/>
      <c r="M102" s="7" t="n"/>
      <c r="N102" s="4">
        <f>IF(D102="","",IF(M102&lt;&gt;"",IF(M102-D102&gt;=2,"Đủ","Chưa"),IF(NOW()-D102&gt;=2,"Đủ","Chưa")))</f>
        <v/>
      </c>
      <c r="O102" s="8">
        <f>IF(L102="","",L102*0.05)</f>
        <v/>
      </c>
      <c r="P102" s="8">
        <f>IF(OR(L102="",C102=""),"",L102*0.95-C102)</f>
        <v/>
      </c>
      <c r="Q102" s="5" t="n"/>
    </row>
    <row r="103">
      <c r="A103" s="4">
        <f>IF(B103="","",ROW()-3)</f>
        <v/>
      </c>
      <c r="B103" s="5" t="n"/>
      <c r="C103" s="6" t="n"/>
      <c r="D103" s="7" t="n"/>
      <c r="E103" s="8">
        <f>IF(C103="","",C103*1.35)</f>
        <v/>
      </c>
      <c r="F103" s="9" t="n"/>
      <c r="G103" s="5" t="n"/>
      <c r="H103" s="6" t="n"/>
      <c r="I103" s="6" t="n"/>
      <c r="J103" s="8">
        <f>IF(OR(I103="",H103=""),"",MAX(0,I103-H103))</f>
        <v/>
      </c>
      <c r="K103" s="7" t="n"/>
      <c r="L103" s="6" t="n"/>
      <c r="M103" s="7" t="n"/>
      <c r="N103" s="4">
        <f>IF(D103="","",IF(M103&lt;&gt;"",IF(M103-D103&gt;=2,"Đủ","Chưa"),IF(NOW()-D103&gt;=2,"Đủ","Chưa")))</f>
        <v/>
      </c>
      <c r="O103" s="8">
        <f>IF(L103="","",L103*0.05)</f>
        <v/>
      </c>
      <c r="P103" s="8">
        <f>IF(OR(L103="",C103=""),"",L103*0.95-C103)</f>
        <v/>
      </c>
      <c r="Q103" s="5" t="n"/>
    </row>
    <row r="104">
      <c r="A104" s="4">
        <f>IF(B104="","",ROW()-3)</f>
        <v/>
      </c>
      <c r="B104" s="5" t="n"/>
      <c r="C104" s="6" t="n"/>
      <c r="D104" s="7" t="n"/>
      <c r="E104" s="8">
        <f>IF(C104="","",C104*1.35)</f>
        <v/>
      </c>
      <c r="F104" s="9" t="n"/>
      <c r="G104" s="5" t="n"/>
      <c r="H104" s="6" t="n"/>
      <c r="I104" s="6" t="n"/>
      <c r="J104" s="8">
        <f>IF(OR(I104="",H104=""),"",MAX(0,I104-H104))</f>
        <v/>
      </c>
      <c r="K104" s="7" t="n"/>
      <c r="L104" s="6" t="n"/>
      <c r="M104" s="7" t="n"/>
      <c r="N104" s="4">
        <f>IF(D104="","",IF(M104&lt;&gt;"",IF(M104-D104&gt;=2,"Đủ","Chưa"),IF(NOW()-D104&gt;=2,"Đủ","Chưa")))</f>
        <v/>
      </c>
      <c r="O104" s="8">
        <f>IF(L104="","",L104*0.05)</f>
        <v/>
      </c>
      <c r="P104" s="8">
        <f>IF(OR(L104="",C104=""),"",L104*0.95-C104)</f>
        <v/>
      </c>
      <c r="Q104" s="5" t="n"/>
    </row>
    <row r="105">
      <c r="A105" s="4">
        <f>IF(B105="","",ROW()-3)</f>
        <v/>
      </c>
      <c r="B105" s="5" t="n"/>
      <c r="C105" s="6" t="n"/>
      <c r="D105" s="7" t="n"/>
      <c r="E105" s="8">
        <f>IF(C105="","",C105*1.35)</f>
        <v/>
      </c>
      <c r="F105" s="9" t="n"/>
      <c r="G105" s="5" t="n"/>
      <c r="H105" s="6" t="n"/>
      <c r="I105" s="6" t="n"/>
      <c r="J105" s="8">
        <f>IF(OR(I105="",H105=""),"",MAX(0,I105-H105))</f>
        <v/>
      </c>
      <c r="K105" s="7" t="n"/>
      <c r="L105" s="6" t="n"/>
      <c r="M105" s="7" t="n"/>
      <c r="N105" s="4">
        <f>IF(D105="","",IF(M105&lt;&gt;"",IF(M105-D105&gt;=2,"Đủ","Chưa"),IF(NOW()-D105&gt;=2,"Đủ","Chưa")))</f>
        <v/>
      </c>
      <c r="O105" s="8">
        <f>IF(L105="","",L105*0.05)</f>
        <v/>
      </c>
      <c r="P105" s="8">
        <f>IF(OR(L105="",C105=""),"",L105*0.95-C105)</f>
        <v/>
      </c>
      <c r="Q105" s="5" t="n"/>
    </row>
    <row r="106">
      <c r="A106" s="4">
        <f>IF(B106="","",ROW()-3)</f>
        <v/>
      </c>
      <c r="B106" s="5" t="n"/>
      <c r="C106" s="6" t="n"/>
      <c r="D106" s="7" t="n"/>
      <c r="E106" s="8">
        <f>IF(C106="","",C106*1.35)</f>
        <v/>
      </c>
      <c r="F106" s="9" t="n"/>
      <c r="G106" s="5" t="n"/>
      <c r="H106" s="6" t="n"/>
      <c r="I106" s="6" t="n"/>
      <c r="J106" s="8">
        <f>IF(OR(I106="",H106=""),"",MAX(0,I106-H106))</f>
        <v/>
      </c>
      <c r="K106" s="7" t="n"/>
      <c r="L106" s="6" t="n"/>
      <c r="M106" s="7" t="n"/>
      <c r="N106" s="4">
        <f>IF(D106="","",IF(M106&lt;&gt;"",IF(M106-D106&gt;=2,"Đủ","Chưa"),IF(NOW()-D106&gt;=2,"Đủ","Chưa")))</f>
        <v/>
      </c>
      <c r="O106" s="8">
        <f>IF(L106="","",L106*0.05)</f>
        <v/>
      </c>
      <c r="P106" s="8">
        <f>IF(OR(L106="",C106=""),"",L106*0.95-C106)</f>
        <v/>
      </c>
      <c r="Q106" s="5" t="n"/>
    </row>
    <row r="107">
      <c r="A107" s="4">
        <f>IF(B107="","",ROW()-3)</f>
        <v/>
      </c>
      <c r="B107" s="5" t="n"/>
      <c r="C107" s="6" t="n"/>
      <c r="D107" s="7" t="n"/>
      <c r="E107" s="8">
        <f>IF(C107="","",C107*1.35)</f>
        <v/>
      </c>
      <c r="F107" s="9" t="n"/>
      <c r="G107" s="5" t="n"/>
      <c r="H107" s="6" t="n"/>
      <c r="I107" s="6" t="n"/>
      <c r="J107" s="8">
        <f>IF(OR(I107="",H107=""),"",MAX(0,I107-H107))</f>
        <v/>
      </c>
      <c r="K107" s="7" t="n"/>
      <c r="L107" s="6" t="n"/>
      <c r="M107" s="7" t="n"/>
      <c r="N107" s="4">
        <f>IF(D107="","",IF(M107&lt;&gt;"",IF(M107-D107&gt;=2,"Đủ","Chưa"),IF(NOW()-D107&gt;=2,"Đủ","Chưa")))</f>
        <v/>
      </c>
      <c r="O107" s="8">
        <f>IF(L107="","",L107*0.05)</f>
        <v/>
      </c>
      <c r="P107" s="8">
        <f>IF(OR(L107="",C107=""),"",L107*0.95-C107)</f>
        <v/>
      </c>
      <c r="Q107" s="5" t="n"/>
    </row>
    <row r="108">
      <c r="A108" s="4">
        <f>IF(B108="","",ROW()-3)</f>
        <v/>
      </c>
      <c r="B108" s="5" t="n"/>
      <c r="C108" s="6" t="n"/>
      <c r="D108" s="7" t="n"/>
      <c r="E108" s="8">
        <f>IF(C108="","",C108*1.35)</f>
        <v/>
      </c>
      <c r="F108" s="9" t="n"/>
      <c r="G108" s="5" t="n"/>
      <c r="H108" s="6" t="n"/>
      <c r="I108" s="6" t="n"/>
      <c r="J108" s="8">
        <f>IF(OR(I108="",H108=""),"",MAX(0,I108-H108))</f>
        <v/>
      </c>
      <c r="K108" s="7" t="n"/>
      <c r="L108" s="6" t="n"/>
      <c r="M108" s="7" t="n"/>
      <c r="N108" s="4">
        <f>IF(D108="","",IF(M108&lt;&gt;"",IF(M108-D108&gt;=2,"Đủ","Chưa"),IF(NOW()-D108&gt;=2,"Đủ","Chưa")))</f>
        <v/>
      </c>
      <c r="O108" s="8">
        <f>IF(L108="","",L108*0.05)</f>
        <v/>
      </c>
      <c r="P108" s="8">
        <f>IF(OR(L108="",C108=""),"",L108*0.95-C108)</f>
        <v/>
      </c>
      <c r="Q108" s="5" t="n"/>
    </row>
    <row r="109">
      <c r="A109" s="4">
        <f>IF(B109="","",ROW()-3)</f>
        <v/>
      </c>
      <c r="B109" s="5" t="n"/>
      <c r="C109" s="6" t="n"/>
      <c r="D109" s="7" t="n"/>
      <c r="E109" s="8">
        <f>IF(C109="","",C109*1.35)</f>
        <v/>
      </c>
      <c r="F109" s="9" t="n"/>
      <c r="G109" s="5" t="n"/>
      <c r="H109" s="6" t="n"/>
      <c r="I109" s="6" t="n"/>
      <c r="J109" s="8">
        <f>IF(OR(I109="",H109=""),"",MAX(0,I109-H109))</f>
        <v/>
      </c>
      <c r="K109" s="7" t="n"/>
      <c r="L109" s="6" t="n"/>
      <c r="M109" s="7" t="n"/>
      <c r="N109" s="4">
        <f>IF(D109="","",IF(M109&lt;&gt;"",IF(M109-D109&gt;=2,"Đủ","Chưa"),IF(NOW()-D109&gt;=2,"Đủ","Chưa")))</f>
        <v/>
      </c>
      <c r="O109" s="8">
        <f>IF(L109="","",L109*0.05)</f>
        <v/>
      </c>
      <c r="P109" s="8">
        <f>IF(OR(L109="",C109=""),"",L109*0.95-C109)</f>
        <v/>
      </c>
      <c r="Q109" s="5" t="n"/>
    </row>
    <row r="110">
      <c r="A110" s="4">
        <f>IF(B110="","",ROW()-3)</f>
        <v/>
      </c>
      <c r="B110" s="5" t="n"/>
      <c r="C110" s="6" t="n"/>
      <c r="D110" s="7" t="n"/>
      <c r="E110" s="8">
        <f>IF(C110="","",C110*1.35)</f>
        <v/>
      </c>
      <c r="F110" s="9" t="n"/>
      <c r="G110" s="5" t="n"/>
      <c r="H110" s="6" t="n"/>
      <c r="I110" s="6" t="n"/>
      <c r="J110" s="8">
        <f>IF(OR(I110="",H110=""),"",MAX(0,I110-H110))</f>
        <v/>
      </c>
      <c r="K110" s="7" t="n"/>
      <c r="L110" s="6" t="n"/>
      <c r="M110" s="7" t="n"/>
      <c r="N110" s="4">
        <f>IF(D110="","",IF(M110&lt;&gt;"",IF(M110-D110&gt;=2,"Đủ","Chưa"),IF(NOW()-D110&gt;=2,"Đủ","Chưa")))</f>
        <v/>
      </c>
      <c r="O110" s="8">
        <f>IF(L110="","",L110*0.05)</f>
        <v/>
      </c>
      <c r="P110" s="8">
        <f>IF(OR(L110="",C110=""),"",L110*0.95-C110)</f>
        <v/>
      </c>
      <c r="Q110" s="5" t="n"/>
    </row>
    <row r="111">
      <c r="A111" s="4">
        <f>IF(B111="","",ROW()-3)</f>
        <v/>
      </c>
      <c r="B111" s="5" t="n"/>
      <c r="C111" s="6" t="n"/>
      <c r="D111" s="7" t="n"/>
      <c r="E111" s="8">
        <f>IF(C111="","",C111*1.35)</f>
        <v/>
      </c>
      <c r="F111" s="9" t="n"/>
      <c r="G111" s="5" t="n"/>
      <c r="H111" s="6" t="n"/>
      <c r="I111" s="6" t="n"/>
      <c r="J111" s="8">
        <f>IF(OR(I111="",H111=""),"",MAX(0,I111-H111))</f>
        <v/>
      </c>
      <c r="K111" s="7" t="n"/>
      <c r="L111" s="6" t="n"/>
      <c r="M111" s="7" t="n"/>
      <c r="N111" s="4">
        <f>IF(D111="","",IF(M111&lt;&gt;"",IF(M111-D111&gt;=2,"Đủ","Chưa"),IF(NOW()-D111&gt;=2,"Đủ","Chưa")))</f>
        <v/>
      </c>
      <c r="O111" s="8">
        <f>IF(L111="","",L111*0.05)</f>
        <v/>
      </c>
      <c r="P111" s="8">
        <f>IF(OR(L111="",C111=""),"",L111*0.95-C111)</f>
        <v/>
      </c>
      <c r="Q111" s="5" t="n"/>
    </row>
    <row r="112">
      <c r="A112" s="4">
        <f>IF(B112="","",ROW()-3)</f>
        <v/>
      </c>
      <c r="B112" s="5" t="n"/>
      <c r="C112" s="6" t="n"/>
      <c r="D112" s="7" t="n"/>
      <c r="E112" s="8">
        <f>IF(C112="","",C112*1.35)</f>
        <v/>
      </c>
      <c r="F112" s="9" t="n"/>
      <c r="G112" s="5" t="n"/>
      <c r="H112" s="6" t="n"/>
      <c r="I112" s="6" t="n"/>
      <c r="J112" s="8">
        <f>IF(OR(I112="",H112=""),"",MAX(0,I112-H112))</f>
        <v/>
      </c>
      <c r="K112" s="7" t="n"/>
      <c r="L112" s="6" t="n"/>
      <c r="M112" s="7" t="n"/>
      <c r="N112" s="4">
        <f>IF(D112="","",IF(M112&lt;&gt;"",IF(M112-D112&gt;=2,"Đủ","Chưa"),IF(NOW()-D112&gt;=2,"Đủ","Chưa")))</f>
        <v/>
      </c>
      <c r="O112" s="8">
        <f>IF(L112="","",L112*0.05)</f>
        <v/>
      </c>
      <c r="P112" s="8">
        <f>IF(OR(L112="",C112=""),"",L112*0.95-C112)</f>
        <v/>
      </c>
      <c r="Q112" s="5" t="n"/>
    </row>
    <row r="113">
      <c r="A113" s="4">
        <f>IF(B113="","",ROW()-3)</f>
        <v/>
      </c>
      <c r="B113" s="5" t="n"/>
      <c r="C113" s="6" t="n"/>
      <c r="D113" s="7" t="n"/>
      <c r="E113" s="8">
        <f>IF(C113="","",C113*1.35)</f>
        <v/>
      </c>
      <c r="F113" s="9" t="n"/>
      <c r="G113" s="5" t="n"/>
      <c r="H113" s="6" t="n"/>
      <c r="I113" s="6" t="n"/>
      <c r="J113" s="8">
        <f>IF(OR(I113="",H113=""),"",MAX(0,I113-H113))</f>
        <v/>
      </c>
      <c r="K113" s="7" t="n"/>
      <c r="L113" s="6" t="n"/>
      <c r="M113" s="7" t="n"/>
      <c r="N113" s="4">
        <f>IF(D113="","",IF(M113&lt;&gt;"",IF(M113-D113&gt;=2,"Đủ","Chưa"),IF(NOW()-D113&gt;=2,"Đủ","Chưa")))</f>
        <v/>
      </c>
      <c r="O113" s="8">
        <f>IF(L113="","",L113*0.05)</f>
        <v/>
      </c>
      <c r="P113" s="8">
        <f>IF(OR(L113="",C113=""),"",L113*0.95-C113)</f>
        <v/>
      </c>
      <c r="Q113" s="5" t="n"/>
    </row>
    <row r="114">
      <c r="A114" s="4">
        <f>IF(B114="","",ROW()-3)</f>
        <v/>
      </c>
      <c r="B114" s="5" t="n"/>
      <c r="C114" s="6" t="n"/>
      <c r="D114" s="7" t="n"/>
      <c r="E114" s="8">
        <f>IF(C114="","",C114*1.35)</f>
        <v/>
      </c>
      <c r="F114" s="9" t="n"/>
      <c r="G114" s="5" t="n"/>
      <c r="H114" s="6" t="n"/>
      <c r="I114" s="6" t="n"/>
      <c r="J114" s="8">
        <f>IF(OR(I114="",H114=""),"",MAX(0,I114-H114))</f>
        <v/>
      </c>
      <c r="K114" s="7" t="n"/>
      <c r="L114" s="6" t="n"/>
      <c r="M114" s="7" t="n"/>
      <c r="N114" s="4">
        <f>IF(D114="","",IF(M114&lt;&gt;"",IF(M114-D114&gt;=2,"Đủ","Chưa"),IF(NOW()-D114&gt;=2,"Đủ","Chưa")))</f>
        <v/>
      </c>
      <c r="O114" s="8">
        <f>IF(L114="","",L114*0.05)</f>
        <v/>
      </c>
      <c r="P114" s="8">
        <f>IF(OR(L114="",C114=""),"",L114*0.95-C114)</f>
        <v/>
      </c>
      <c r="Q114" s="5" t="n"/>
    </row>
    <row r="115">
      <c r="A115" s="4">
        <f>IF(B115="","",ROW()-3)</f>
        <v/>
      </c>
      <c r="B115" s="5" t="n"/>
      <c r="C115" s="6" t="n"/>
      <c r="D115" s="7" t="n"/>
      <c r="E115" s="8">
        <f>IF(C115="","",C115*1.35)</f>
        <v/>
      </c>
      <c r="F115" s="9" t="n"/>
      <c r="G115" s="5" t="n"/>
      <c r="H115" s="6" t="n"/>
      <c r="I115" s="6" t="n"/>
      <c r="J115" s="8">
        <f>IF(OR(I115="",H115=""),"",MAX(0,I115-H115))</f>
        <v/>
      </c>
      <c r="K115" s="7" t="n"/>
      <c r="L115" s="6" t="n"/>
      <c r="M115" s="7" t="n"/>
      <c r="N115" s="4">
        <f>IF(D115="","",IF(M115&lt;&gt;"",IF(M115-D115&gt;=2,"Đủ","Chưa"),IF(NOW()-D115&gt;=2,"Đủ","Chưa")))</f>
        <v/>
      </c>
      <c r="O115" s="8">
        <f>IF(L115="","",L115*0.05)</f>
        <v/>
      </c>
      <c r="P115" s="8">
        <f>IF(OR(L115="",C115=""),"",L115*0.95-C115)</f>
        <v/>
      </c>
      <c r="Q115" s="5" t="n"/>
    </row>
    <row r="116">
      <c r="A116" s="4">
        <f>IF(B116="","",ROW()-3)</f>
        <v/>
      </c>
      <c r="B116" s="5" t="n"/>
      <c r="C116" s="6" t="n"/>
      <c r="D116" s="7" t="n"/>
      <c r="E116" s="8">
        <f>IF(C116="","",C116*1.35)</f>
        <v/>
      </c>
      <c r="F116" s="9" t="n"/>
      <c r="G116" s="5" t="n"/>
      <c r="H116" s="6" t="n"/>
      <c r="I116" s="6" t="n"/>
      <c r="J116" s="8">
        <f>IF(OR(I116="",H116=""),"",MAX(0,I116-H116))</f>
        <v/>
      </c>
      <c r="K116" s="7" t="n"/>
      <c r="L116" s="6" t="n"/>
      <c r="M116" s="7" t="n"/>
      <c r="N116" s="4">
        <f>IF(D116="","",IF(M116&lt;&gt;"",IF(M116-D116&gt;=2,"Đủ","Chưa"),IF(NOW()-D116&gt;=2,"Đủ","Chưa")))</f>
        <v/>
      </c>
      <c r="O116" s="8">
        <f>IF(L116="","",L116*0.05)</f>
        <v/>
      </c>
      <c r="P116" s="8">
        <f>IF(OR(L116="",C116=""),"",L116*0.95-C116)</f>
        <v/>
      </c>
      <c r="Q116" s="5" t="n"/>
    </row>
    <row r="117">
      <c r="A117" s="4">
        <f>IF(B117="","",ROW()-3)</f>
        <v/>
      </c>
      <c r="B117" s="5" t="n"/>
      <c r="C117" s="6" t="n"/>
      <c r="D117" s="7" t="n"/>
      <c r="E117" s="8">
        <f>IF(C117="","",C117*1.35)</f>
        <v/>
      </c>
      <c r="F117" s="9" t="n"/>
      <c r="G117" s="5" t="n"/>
      <c r="H117" s="6" t="n"/>
      <c r="I117" s="6" t="n"/>
      <c r="J117" s="8">
        <f>IF(OR(I117="",H117=""),"",MAX(0,I117-H117))</f>
        <v/>
      </c>
      <c r="K117" s="7" t="n"/>
      <c r="L117" s="6" t="n"/>
      <c r="M117" s="7" t="n"/>
      <c r="N117" s="4">
        <f>IF(D117="","",IF(M117&lt;&gt;"",IF(M117-D117&gt;=2,"Đủ","Chưa"),IF(NOW()-D117&gt;=2,"Đủ","Chưa")))</f>
        <v/>
      </c>
      <c r="O117" s="8">
        <f>IF(L117="","",L117*0.05)</f>
        <v/>
      </c>
      <c r="P117" s="8">
        <f>IF(OR(L117="",C117=""),"",L117*0.95-C117)</f>
        <v/>
      </c>
      <c r="Q117" s="5" t="n"/>
    </row>
    <row r="118">
      <c r="A118" s="4">
        <f>IF(B118="","",ROW()-3)</f>
        <v/>
      </c>
      <c r="B118" s="5" t="n"/>
      <c r="C118" s="6" t="n"/>
      <c r="D118" s="7" t="n"/>
      <c r="E118" s="8">
        <f>IF(C118="","",C118*1.35)</f>
        <v/>
      </c>
      <c r="F118" s="9" t="n"/>
      <c r="G118" s="5" t="n"/>
      <c r="H118" s="6" t="n"/>
      <c r="I118" s="6" t="n"/>
      <c r="J118" s="8">
        <f>IF(OR(I118="",H118=""),"",MAX(0,I118-H118))</f>
        <v/>
      </c>
      <c r="K118" s="7" t="n"/>
      <c r="L118" s="6" t="n"/>
      <c r="M118" s="7" t="n"/>
      <c r="N118" s="4">
        <f>IF(D118="","",IF(M118&lt;&gt;"",IF(M118-D118&gt;=2,"Đủ","Chưa"),IF(NOW()-D118&gt;=2,"Đủ","Chưa")))</f>
        <v/>
      </c>
      <c r="O118" s="8">
        <f>IF(L118="","",L118*0.05)</f>
        <v/>
      </c>
      <c r="P118" s="8">
        <f>IF(OR(L118="",C118=""),"",L118*0.95-C118)</f>
        <v/>
      </c>
      <c r="Q118" s="5" t="n"/>
    </row>
    <row r="119">
      <c r="A119" s="4">
        <f>IF(B119="","",ROW()-3)</f>
        <v/>
      </c>
      <c r="B119" s="5" t="n"/>
      <c r="C119" s="6" t="n"/>
      <c r="D119" s="7" t="n"/>
      <c r="E119" s="8">
        <f>IF(C119="","",C119*1.35)</f>
        <v/>
      </c>
      <c r="F119" s="9" t="n"/>
      <c r="G119" s="5" t="n"/>
      <c r="H119" s="6" t="n"/>
      <c r="I119" s="6" t="n"/>
      <c r="J119" s="8">
        <f>IF(OR(I119="",H119=""),"",MAX(0,I119-H119))</f>
        <v/>
      </c>
      <c r="K119" s="7" t="n"/>
      <c r="L119" s="6" t="n"/>
      <c r="M119" s="7" t="n"/>
      <c r="N119" s="4">
        <f>IF(D119="","",IF(M119&lt;&gt;"",IF(M119-D119&gt;=2,"Đủ","Chưa"),IF(NOW()-D119&gt;=2,"Đủ","Chưa")))</f>
        <v/>
      </c>
      <c r="O119" s="8">
        <f>IF(L119="","",L119*0.05)</f>
        <v/>
      </c>
      <c r="P119" s="8">
        <f>IF(OR(L119="",C119=""),"",L119*0.95-C119)</f>
        <v/>
      </c>
      <c r="Q119" s="5" t="n"/>
    </row>
    <row r="120">
      <c r="A120" s="4">
        <f>IF(B120="","",ROW()-3)</f>
        <v/>
      </c>
      <c r="B120" s="5" t="n"/>
      <c r="C120" s="6" t="n"/>
      <c r="D120" s="7" t="n"/>
      <c r="E120" s="8">
        <f>IF(C120="","",C120*1.35)</f>
        <v/>
      </c>
      <c r="F120" s="9" t="n"/>
      <c r="G120" s="5" t="n"/>
      <c r="H120" s="6" t="n"/>
      <c r="I120" s="6" t="n"/>
      <c r="J120" s="8">
        <f>IF(OR(I120="",H120=""),"",MAX(0,I120-H120))</f>
        <v/>
      </c>
      <c r="K120" s="7" t="n"/>
      <c r="L120" s="6" t="n"/>
      <c r="M120" s="7" t="n"/>
      <c r="N120" s="4">
        <f>IF(D120="","",IF(M120&lt;&gt;"",IF(M120-D120&gt;=2,"Đủ","Chưa"),IF(NOW()-D120&gt;=2,"Đủ","Chưa")))</f>
        <v/>
      </c>
      <c r="O120" s="8">
        <f>IF(L120="","",L120*0.05)</f>
        <v/>
      </c>
      <c r="P120" s="8">
        <f>IF(OR(L120="",C120=""),"",L120*0.95-C120)</f>
        <v/>
      </c>
      <c r="Q120" s="5" t="n"/>
    </row>
    <row r="121">
      <c r="A121" s="4">
        <f>IF(B121="","",ROW()-3)</f>
        <v/>
      </c>
      <c r="B121" s="5" t="n"/>
      <c r="C121" s="6" t="n"/>
      <c r="D121" s="7" t="n"/>
      <c r="E121" s="8">
        <f>IF(C121="","",C121*1.35)</f>
        <v/>
      </c>
      <c r="F121" s="9" t="n"/>
      <c r="G121" s="5" t="n"/>
      <c r="H121" s="6" t="n"/>
      <c r="I121" s="6" t="n"/>
      <c r="J121" s="8">
        <f>IF(OR(I121="",H121=""),"",MAX(0,I121-H121))</f>
        <v/>
      </c>
      <c r="K121" s="7" t="n"/>
      <c r="L121" s="6" t="n"/>
      <c r="M121" s="7" t="n"/>
      <c r="N121" s="4">
        <f>IF(D121="","",IF(M121&lt;&gt;"",IF(M121-D121&gt;=2,"Đủ","Chưa"),IF(NOW()-D121&gt;=2,"Đủ","Chưa")))</f>
        <v/>
      </c>
      <c r="O121" s="8">
        <f>IF(L121="","",L121*0.05)</f>
        <v/>
      </c>
      <c r="P121" s="8">
        <f>IF(OR(L121="",C121=""),"",L121*0.95-C121)</f>
        <v/>
      </c>
      <c r="Q121" s="5" t="n"/>
    </row>
    <row r="122">
      <c r="A122" s="4">
        <f>IF(B122="","",ROW()-3)</f>
        <v/>
      </c>
      <c r="B122" s="5" t="n"/>
      <c r="C122" s="6" t="n"/>
      <c r="D122" s="7" t="n"/>
      <c r="E122" s="8">
        <f>IF(C122="","",C122*1.35)</f>
        <v/>
      </c>
      <c r="F122" s="9" t="n"/>
      <c r="G122" s="5" t="n"/>
      <c r="H122" s="6" t="n"/>
      <c r="I122" s="6" t="n"/>
      <c r="J122" s="8">
        <f>IF(OR(I122="",H122=""),"",MAX(0,I122-H122))</f>
        <v/>
      </c>
      <c r="K122" s="7" t="n"/>
      <c r="L122" s="6" t="n"/>
      <c r="M122" s="7" t="n"/>
      <c r="N122" s="4">
        <f>IF(D122="","",IF(M122&lt;&gt;"",IF(M122-D122&gt;=2,"Đủ","Chưa"),IF(NOW()-D122&gt;=2,"Đủ","Chưa")))</f>
        <v/>
      </c>
      <c r="O122" s="8">
        <f>IF(L122="","",L122*0.05)</f>
        <v/>
      </c>
      <c r="P122" s="8">
        <f>IF(OR(L122="",C122=""),"",L122*0.95-C122)</f>
        <v/>
      </c>
      <c r="Q122" s="5" t="n"/>
    </row>
    <row r="123">
      <c r="A123" s="4">
        <f>IF(B123="","",ROW()-3)</f>
        <v/>
      </c>
      <c r="B123" s="5" t="n"/>
      <c r="C123" s="6" t="n"/>
      <c r="D123" s="7" t="n"/>
      <c r="E123" s="8">
        <f>IF(C123="","",C123*1.35)</f>
        <v/>
      </c>
      <c r="F123" s="9" t="n"/>
      <c r="G123" s="5" t="n"/>
      <c r="H123" s="6" t="n"/>
      <c r="I123" s="6" t="n"/>
      <c r="J123" s="8">
        <f>IF(OR(I123="",H123=""),"",MAX(0,I123-H123))</f>
        <v/>
      </c>
      <c r="K123" s="7" t="n"/>
      <c r="L123" s="6" t="n"/>
      <c r="M123" s="7" t="n"/>
      <c r="N123" s="4">
        <f>IF(D123="","",IF(M123&lt;&gt;"",IF(M123-D123&gt;=2,"Đủ","Chưa"),IF(NOW()-D123&gt;=2,"Đủ","Chưa")))</f>
        <v/>
      </c>
      <c r="O123" s="8">
        <f>IF(L123="","",L123*0.05)</f>
        <v/>
      </c>
      <c r="P123" s="8">
        <f>IF(OR(L123="",C123=""),"",L123*0.95-C123)</f>
        <v/>
      </c>
      <c r="Q123" s="5" t="n"/>
    </row>
    <row r="124">
      <c r="A124" s="4">
        <f>IF(B124="","",ROW()-3)</f>
        <v/>
      </c>
      <c r="B124" s="5" t="n"/>
      <c r="C124" s="6" t="n"/>
      <c r="D124" s="7" t="n"/>
      <c r="E124" s="8">
        <f>IF(C124="","",C124*1.35)</f>
        <v/>
      </c>
      <c r="F124" s="9" t="n"/>
      <c r="G124" s="5" t="n"/>
      <c r="H124" s="6" t="n"/>
      <c r="I124" s="6" t="n"/>
      <c r="J124" s="8">
        <f>IF(OR(I124="",H124=""),"",MAX(0,I124-H124))</f>
        <v/>
      </c>
      <c r="K124" s="7" t="n"/>
      <c r="L124" s="6" t="n"/>
      <c r="M124" s="7" t="n"/>
      <c r="N124" s="4">
        <f>IF(D124="","",IF(M124&lt;&gt;"",IF(M124-D124&gt;=2,"Đủ","Chưa"),IF(NOW()-D124&gt;=2,"Đủ","Chưa")))</f>
        <v/>
      </c>
      <c r="O124" s="8">
        <f>IF(L124="","",L124*0.05)</f>
        <v/>
      </c>
      <c r="P124" s="8">
        <f>IF(OR(L124="",C124=""),"",L124*0.95-C124)</f>
        <v/>
      </c>
      <c r="Q124" s="5" t="n"/>
    </row>
    <row r="125">
      <c r="A125" s="4">
        <f>IF(B125="","",ROW()-3)</f>
        <v/>
      </c>
      <c r="B125" s="5" t="n"/>
      <c r="C125" s="6" t="n"/>
      <c r="D125" s="7" t="n"/>
      <c r="E125" s="8">
        <f>IF(C125="","",C125*1.35)</f>
        <v/>
      </c>
      <c r="F125" s="9" t="n"/>
      <c r="G125" s="5" t="n"/>
      <c r="H125" s="6" t="n"/>
      <c r="I125" s="6" t="n"/>
      <c r="J125" s="8">
        <f>IF(OR(I125="",H125=""),"",MAX(0,I125-H125))</f>
        <v/>
      </c>
      <c r="K125" s="7" t="n"/>
      <c r="L125" s="6" t="n"/>
      <c r="M125" s="7" t="n"/>
      <c r="N125" s="4">
        <f>IF(D125="","",IF(M125&lt;&gt;"",IF(M125-D125&gt;=2,"Đủ","Chưa"),IF(NOW()-D125&gt;=2,"Đủ","Chưa")))</f>
        <v/>
      </c>
      <c r="O125" s="8">
        <f>IF(L125="","",L125*0.05)</f>
        <v/>
      </c>
      <c r="P125" s="8">
        <f>IF(OR(L125="",C125=""),"",L125*0.95-C125)</f>
        <v/>
      </c>
      <c r="Q125" s="5" t="n"/>
    </row>
    <row r="126">
      <c r="A126" s="4">
        <f>IF(B126="","",ROW()-3)</f>
        <v/>
      </c>
      <c r="B126" s="5" t="n"/>
      <c r="C126" s="6" t="n"/>
      <c r="D126" s="7" t="n"/>
      <c r="E126" s="8">
        <f>IF(C126="","",C126*1.35)</f>
        <v/>
      </c>
      <c r="F126" s="9" t="n"/>
      <c r="G126" s="5" t="n"/>
      <c r="H126" s="6" t="n"/>
      <c r="I126" s="6" t="n"/>
      <c r="J126" s="8">
        <f>IF(OR(I126="",H126=""),"",MAX(0,I126-H126))</f>
        <v/>
      </c>
      <c r="K126" s="7" t="n"/>
      <c r="L126" s="6" t="n"/>
      <c r="M126" s="7" t="n"/>
      <c r="N126" s="4">
        <f>IF(D126="","",IF(M126&lt;&gt;"",IF(M126-D126&gt;=2,"Đủ","Chưa"),IF(NOW()-D126&gt;=2,"Đủ","Chưa")))</f>
        <v/>
      </c>
      <c r="O126" s="8">
        <f>IF(L126="","",L126*0.05)</f>
        <v/>
      </c>
      <c r="P126" s="8">
        <f>IF(OR(L126="",C126=""),"",L126*0.95-C126)</f>
        <v/>
      </c>
      <c r="Q126" s="5" t="n"/>
    </row>
    <row r="127">
      <c r="A127" s="4">
        <f>IF(B127="","",ROW()-3)</f>
        <v/>
      </c>
      <c r="B127" s="5" t="n"/>
      <c r="C127" s="6" t="n"/>
      <c r="D127" s="7" t="n"/>
      <c r="E127" s="8">
        <f>IF(C127="","",C127*1.35)</f>
        <v/>
      </c>
      <c r="F127" s="9" t="n"/>
      <c r="G127" s="5" t="n"/>
      <c r="H127" s="6" t="n"/>
      <c r="I127" s="6" t="n"/>
      <c r="J127" s="8">
        <f>IF(OR(I127="",H127=""),"",MAX(0,I127-H127))</f>
        <v/>
      </c>
      <c r="K127" s="7" t="n"/>
      <c r="L127" s="6" t="n"/>
      <c r="M127" s="7" t="n"/>
      <c r="N127" s="4">
        <f>IF(D127="","",IF(M127&lt;&gt;"",IF(M127-D127&gt;=2,"Đủ","Chưa"),IF(NOW()-D127&gt;=2,"Đủ","Chưa")))</f>
        <v/>
      </c>
      <c r="O127" s="8">
        <f>IF(L127="","",L127*0.05)</f>
        <v/>
      </c>
      <c r="P127" s="8">
        <f>IF(OR(L127="",C127=""),"",L127*0.95-C127)</f>
        <v/>
      </c>
      <c r="Q127" s="5" t="n"/>
    </row>
    <row r="128">
      <c r="A128" s="4">
        <f>IF(B128="","",ROW()-3)</f>
        <v/>
      </c>
      <c r="B128" s="5" t="n"/>
      <c r="C128" s="6" t="n"/>
      <c r="D128" s="7" t="n"/>
      <c r="E128" s="8">
        <f>IF(C128="","",C128*1.35)</f>
        <v/>
      </c>
      <c r="F128" s="9" t="n"/>
      <c r="G128" s="5" t="n"/>
      <c r="H128" s="6" t="n"/>
      <c r="I128" s="6" t="n"/>
      <c r="J128" s="8">
        <f>IF(OR(I128="",H128=""),"",MAX(0,I128-H128))</f>
        <v/>
      </c>
      <c r="K128" s="7" t="n"/>
      <c r="L128" s="6" t="n"/>
      <c r="M128" s="7" t="n"/>
      <c r="N128" s="4">
        <f>IF(D128="","",IF(M128&lt;&gt;"",IF(M128-D128&gt;=2,"Đủ","Chưa"),IF(NOW()-D128&gt;=2,"Đủ","Chưa")))</f>
        <v/>
      </c>
      <c r="O128" s="8">
        <f>IF(L128="","",L128*0.05)</f>
        <v/>
      </c>
      <c r="P128" s="8">
        <f>IF(OR(L128="",C128=""),"",L128*0.95-C128)</f>
        <v/>
      </c>
      <c r="Q128" s="5" t="n"/>
    </row>
    <row r="129">
      <c r="A129" s="4">
        <f>IF(B129="","",ROW()-3)</f>
        <v/>
      </c>
      <c r="B129" s="5" t="n"/>
      <c r="C129" s="6" t="n"/>
      <c r="D129" s="7" t="n"/>
      <c r="E129" s="8">
        <f>IF(C129="","",C129*1.35)</f>
        <v/>
      </c>
      <c r="F129" s="9" t="n"/>
      <c r="G129" s="5" t="n"/>
      <c r="H129" s="6" t="n"/>
      <c r="I129" s="6" t="n"/>
      <c r="J129" s="8">
        <f>IF(OR(I129="",H129=""),"",MAX(0,I129-H129))</f>
        <v/>
      </c>
      <c r="K129" s="7" t="n"/>
      <c r="L129" s="6" t="n"/>
      <c r="M129" s="7" t="n"/>
      <c r="N129" s="4">
        <f>IF(D129="","",IF(M129&lt;&gt;"",IF(M129-D129&gt;=2,"Đủ","Chưa"),IF(NOW()-D129&gt;=2,"Đủ","Chưa")))</f>
        <v/>
      </c>
      <c r="O129" s="8">
        <f>IF(L129="","",L129*0.05)</f>
        <v/>
      </c>
      <c r="P129" s="8">
        <f>IF(OR(L129="",C129=""),"",L129*0.95-C129)</f>
        <v/>
      </c>
      <c r="Q129" s="5" t="n"/>
    </row>
    <row r="130">
      <c r="A130" s="4">
        <f>IF(B130="","",ROW()-3)</f>
        <v/>
      </c>
      <c r="B130" s="5" t="n"/>
      <c r="C130" s="6" t="n"/>
      <c r="D130" s="7" t="n"/>
      <c r="E130" s="8">
        <f>IF(C130="","",C130*1.35)</f>
        <v/>
      </c>
      <c r="F130" s="9" t="n"/>
      <c r="G130" s="5" t="n"/>
      <c r="H130" s="6" t="n"/>
      <c r="I130" s="6" t="n"/>
      <c r="J130" s="8">
        <f>IF(OR(I130="",H130=""),"",MAX(0,I130-H130))</f>
        <v/>
      </c>
      <c r="K130" s="7" t="n"/>
      <c r="L130" s="6" t="n"/>
      <c r="M130" s="7" t="n"/>
      <c r="N130" s="4">
        <f>IF(D130="","",IF(M130&lt;&gt;"",IF(M130-D130&gt;=2,"Đủ","Chưa"),IF(NOW()-D130&gt;=2,"Đủ","Chưa")))</f>
        <v/>
      </c>
      <c r="O130" s="8">
        <f>IF(L130="","",L130*0.05)</f>
        <v/>
      </c>
      <c r="P130" s="8">
        <f>IF(OR(L130="",C130=""),"",L130*0.95-C130)</f>
        <v/>
      </c>
      <c r="Q130" s="5" t="n"/>
    </row>
    <row r="131">
      <c r="A131" s="4">
        <f>IF(B131="","",ROW()-3)</f>
        <v/>
      </c>
      <c r="B131" s="5" t="n"/>
      <c r="C131" s="6" t="n"/>
      <c r="D131" s="7" t="n"/>
      <c r="E131" s="8">
        <f>IF(C131="","",C131*1.35)</f>
        <v/>
      </c>
      <c r="F131" s="9" t="n"/>
      <c r="G131" s="5" t="n"/>
      <c r="H131" s="6" t="n"/>
      <c r="I131" s="6" t="n"/>
      <c r="J131" s="8">
        <f>IF(OR(I131="",H131=""),"",MAX(0,I131-H131))</f>
        <v/>
      </c>
      <c r="K131" s="7" t="n"/>
      <c r="L131" s="6" t="n"/>
      <c r="M131" s="7" t="n"/>
      <c r="N131" s="4">
        <f>IF(D131="","",IF(M131&lt;&gt;"",IF(M131-D131&gt;=2,"Đủ","Chưa"),IF(NOW()-D131&gt;=2,"Đủ","Chưa")))</f>
        <v/>
      </c>
      <c r="O131" s="8">
        <f>IF(L131="","",L131*0.05)</f>
        <v/>
      </c>
      <c r="P131" s="8">
        <f>IF(OR(L131="",C131=""),"",L131*0.95-C131)</f>
        <v/>
      </c>
      <c r="Q131" s="5" t="n"/>
    </row>
    <row r="132">
      <c r="A132" s="4">
        <f>IF(B132="","",ROW()-3)</f>
        <v/>
      </c>
      <c r="B132" s="5" t="n"/>
      <c r="C132" s="6" t="n"/>
      <c r="D132" s="7" t="n"/>
      <c r="E132" s="8">
        <f>IF(C132="","",C132*1.35)</f>
        <v/>
      </c>
      <c r="F132" s="9" t="n"/>
      <c r="G132" s="5" t="n"/>
      <c r="H132" s="6" t="n"/>
      <c r="I132" s="6" t="n"/>
      <c r="J132" s="8">
        <f>IF(OR(I132="",H132=""),"",MAX(0,I132-H132))</f>
        <v/>
      </c>
      <c r="K132" s="7" t="n"/>
      <c r="L132" s="6" t="n"/>
      <c r="M132" s="7" t="n"/>
      <c r="N132" s="4">
        <f>IF(D132="","",IF(M132&lt;&gt;"",IF(M132-D132&gt;=2,"Đủ","Chưa"),IF(NOW()-D132&gt;=2,"Đủ","Chưa")))</f>
        <v/>
      </c>
      <c r="O132" s="8">
        <f>IF(L132="","",L132*0.05)</f>
        <v/>
      </c>
      <c r="P132" s="8">
        <f>IF(OR(L132="",C132=""),"",L132*0.95-C132)</f>
        <v/>
      </c>
      <c r="Q132" s="5" t="n"/>
    </row>
    <row r="133">
      <c r="A133" s="4">
        <f>IF(B133="","",ROW()-3)</f>
        <v/>
      </c>
      <c r="B133" s="5" t="n"/>
      <c r="C133" s="6" t="n"/>
      <c r="D133" s="7" t="n"/>
      <c r="E133" s="8">
        <f>IF(C133="","",C133*1.35)</f>
        <v/>
      </c>
      <c r="F133" s="9" t="n"/>
      <c r="G133" s="5" t="n"/>
      <c r="H133" s="6" t="n"/>
      <c r="I133" s="6" t="n"/>
      <c r="J133" s="8">
        <f>IF(OR(I133="",H133=""),"",MAX(0,I133-H133))</f>
        <v/>
      </c>
      <c r="K133" s="7" t="n"/>
      <c r="L133" s="6" t="n"/>
      <c r="M133" s="7" t="n"/>
      <c r="N133" s="4">
        <f>IF(D133="","",IF(M133&lt;&gt;"",IF(M133-D133&gt;=2,"Đủ","Chưa"),IF(NOW()-D133&gt;=2,"Đủ","Chưa")))</f>
        <v/>
      </c>
      <c r="O133" s="8">
        <f>IF(L133="","",L133*0.05)</f>
        <v/>
      </c>
      <c r="P133" s="8">
        <f>IF(OR(L133="",C133=""),"",L133*0.95-C133)</f>
        <v/>
      </c>
      <c r="Q133" s="5" t="n"/>
    </row>
    <row r="134">
      <c r="A134" s="4">
        <f>IF(B134="","",ROW()-3)</f>
        <v/>
      </c>
      <c r="B134" s="5" t="n"/>
      <c r="C134" s="6" t="n"/>
      <c r="D134" s="7" t="n"/>
      <c r="E134" s="8">
        <f>IF(C134="","",C134*1.35)</f>
        <v/>
      </c>
      <c r="F134" s="9" t="n"/>
      <c r="G134" s="5" t="n"/>
      <c r="H134" s="6" t="n"/>
      <c r="I134" s="6" t="n"/>
      <c r="J134" s="8">
        <f>IF(OR(I134="",H134=""),"",MAX(0,I134-H134))</f>
        <v/>
      </c>
      <c r="K134" s="7" t="n"/>
      <c r="L134" s="6" t="n"/>
      <c r="M134" s="7" t="n"/>
      <c r="N134" s="4">
        <f>IF(D134="","",IF(M134&lt;&gt;"",IF(M134-D134&gt;=2,"Đủ","Chưa"),IF(NOW()-D134&gt;=2,"Đủ","Chưa")))</f>
        <v/>
      </c>
      <c r="O134" s="8">
        <f>IF(L134="","",L134*0.05)</f>
        <v/>
      </c>
      <c r="P134" s="8">
        <f>IF(OR(L134="",C134=""),"",L134*0.95-C134)</f>
        <v/>
      </c>
      <c r="Q134" s="5" t="n"/>
    </row>
    <row r="135">
      <c r="A135" s="4">
        <f>IF(B135="","",ROW()-3)</f>
        <v/>
      </c>
      <c r="B135" s="5" t="n"/>
      <c r="C135" s="6" t="n"/>
      <c r="D135" s="7" t="n"/>
      <c r="E135" s="8">
        <f>IF(C135="","",C135*1.35)</f>
        <v/>
      </c>
      <c r="F135" s="9" t="n"/>
      <c r="G135" s="5" t="n"/>
      <c r="H135" s="6" t="n"/>
      <c r="I135" s="6" t="n"/>
      <c r="J135" s="8">
        <f>IF(OR(I135="",H135=""),"",MAX(0,I135-H135))</f>
        <v/>
      </c>
      <c r="K135" s="7" t="n"/>
      <c r="L135" s="6" t="n"/>
      <c r="M135" s="7" t="n"/>
      <c r="N135" s="4">
        <f>IF(D135="","",IF(M135&lt;&gt;"",IF(M135-D135&gt;=2,"Đủ","Chưa"),IF(NOW()-D135&gt;=2,"Đủ","Chưa")))</f>
        <v/>
      </c>
      <c r="O135" s="8">
        <f>IF(L135="","",L135*0.05)</f>
        <v/>
      </c>
      <c r="P135" s="8">
        <f>IF(OR(L135="",C135=""),"",L135*0.95-C135)</f>
        <v/>
      </c>
      <c r="Q135" s="5" t="n"/>
    </row>
    <row r="136">
      <c r="A136" s="4">
        <f>IF(B136="","",ROW()-3)</f>
        <v/>
      </c>
      <c r="B136" s="5" t="n"/>
      <c r="C136" s="6" t="n"/>
      <c r="D136" s="7" t="n"/>
      <c r="E136" s="8">
        <f>IF(C136="","",C136*1.35)</f>
        <v/>
      </c>
      <c r="F136" s="9" t="n"/>
      <c r="G136" s="5" t="n"/>
      <c r="H136" s="6" t="n"/>
      <c r="I136" s="6" t="n"/>
      <c r="J136" s="8">
        <f>IF(OR(I136="",H136=""),"",MAX(0,I136-H136))</f>
        <v/>
      </c>
      <c r="K136" s="7" t="n"/>
      <c r="L136" s="6" t="n"/>
      <c r="M136" s="7" t="n"/>
      <c r="N136" s="4">
        <f>IF(D136="","",IF(M136&lt;&gt;"",IF(M136-D136&gt;=2,"Đủ","Chưa"),IF(NOW()-D136&gt;=2,"Đủ","Chưa")))</f>
        <v/>
      </c>
      <c r="O136" s="8">
        <f>IF(L136="","",L136*0.05)</f>
        <v/>
      </c>
      <c r="P136" s="8">
        <f>IF(OR(L136="",C136=""),"",L136*0.95-C136)</f>
        <v/>
      </c>
      <c r="Q136" s="5" t="n"/>
    </row>
    <row r="137">
      <c r="A137" s="4">
        <f>IF(B137="","",ROW()-3)</f>
        <v/>
      </c>
      <c r="B137" s="5" t="n"/>
      <c r="C137" s="6" t="n"/>
      <c r="D137" s="7" t="n"/>
      <c r="E137" s="8">
        <f>IF(C137="","",C137*1.35)</f>
        <v/>
      </c>
      <c r="F137" s="9" t="n"/>
      <c r="G137" s="5" t="n"/>
      <c r="H137" s="6" t="n"/>
      <c r="I137" s="6" t="n"/>
      <c r="J137" s="8">
        <f>IF(OR(I137="",H137=""),"",MAX(0,I137-H137))</f>
        <v/>
      </c>
      <c r="K137" s="7" t="n"/>
      <c r="L137" s="6" t="n"/>
      <c r="M137" s="7" t="n"/>
      <c r="N137" s="4">
        <f>IF(D137="","",IF(M137&lt;&gt;"",IF(M137-D137&gt;=2,"Đủ","Chưa"),IF(NOW()-D137&gt;=2,"Đủ","Chưa")))</f>
        <v/>
      </c>
      <c r="O137" s="8">
        <f>IF(L137="","",L137*0.05)</f>
        <v/>
      </c>
      <c r="P137" s="8">
        <f>IF(OR(L137="",C137=""),"",L137*0.95-C137)</f>
        <v/>
      </c>
      <c r="Q137" s="5" t="n"/>
    </row>
    <row r="138">
      <c r="A138" s="4">
        <f>IF(B138="","",ROW()-3)</f>
        <v/>
      </c>
      <c r="B138" s="5" t="n"/>
      <c r="C138" s="6" t="n"/>
      <c r="D138" s="7" t="n"/>
      <c r="E138" s="8">
        <f>IF(C138="","",C138*1.35)</f>
        <v/>
      </c>
      <c r="F138" s="9" t="n"/>
      <c r="G138" s="5" t="n"/>
      <c r="H138" s="6" t="n"/>
      <c r="I138" s="6" t="n"/>
      <c r="J138" s="8">
        <f>IF(OR(I138="",H138=""),"",MAX(0,I138-H138))</f>
        <v/>
      </c>
      <c r="K138" s="7" t="n"/>
      <c r="L138" s="6" t="n"/>
      <c r="M138" s="7" t="n"/>
      <c r="N138" s="4">
        <f>IF(D138="","",IF(M138&lt;&gt;"",IF(M138-D138&gt;=2,"Đủ","Chưa"),IF(NOW()-D138&gt;=2,"Đủ","Chưa")))</f>
        <v/>
      </c>
      <c r="O138" s="8">
        <f>IF(L138="","",L138*0.05)</f>
        <v/>
      </c>
      <c r="P138" s="8">
        <f>IF(OR(L138="",C138=""),"",L138*0.95-C138)</f>
        <v/>
      </c>
      <c r="Q138" s="5" t="n"/>
    </row>
    <row r="139">
      <c r="A139" s="4">
        <f>IF(B139="","",ROW()-3)</f>
        <v/>
      </c>
      <c r="B139" s="5" t="n"/>
      <c r="C139" s="6" t="n"/>
      <c r="D139" s="7" t="n"/>
      <c r="E139" s="8">
        <f>IF(C139="","",C139*1.35)</f>
        <v/>
      </c>
      <c r="F139" s="9" t="n"/>
      <c r="G139" s="5" t="n"/>
      <c r="H139" s="6" t="n"/>
      <c r="I139" s="6" t="n"/>
      <c r="J139" s="8">
        <f>IF(OR(I139="",H139=""),"",MAX(0,I139-H139))</f>
        <v/>
      </c>
      <c r="K139" s="7" t="n"/>
      <c r="L139" s="6" t="n"/>
      <c r="M139" s="7" t="n"/>
      <c r="N139" s="4">
        <f>IF(D139="","",IF(M139&lt;&gt;"",IF(M139-D139&gt;=2,"Đủ","Chưa"),IF(NOW()-D139&gt;=2,"Đủ","Chưa")))</f>
        <v/>
      </c>
      <c r="O139" s="8">
        <f>IF(L139="","",L139*0.05)</f>
        <v/>
      </c>
      <c r="P139" s="8">
        <f>IF(OR(L139="",C139=""),"",L139*0.95-C139)</f>
        <v/>
      </c>
      <c r="Q139" s="5" t="n"/>
    </row>
    <row r="140">
      <c r="A140" s="4">
        <f>IF(B140="","",ROW()-3)</f>
        <v/>
      </c>
      <c r="B140" s="5" t="n"/>
      <c r="C140" s="6" t="n"/>
      <c r="D140" s="7" t="n"/>
      <c r="E140" s="8">
        <f>IF(C140="","",C140*1.35)</f>
        <v/>
      </c>
      <c r="F140" s="9" t="n"/>
      <c r="G140" s="5" t="n"/>
      <c r="H140" s="6" t="n"/>
      <c r="I140" s="6" t="n"/>
      <c r="J140" s="8">
        <f>IF(OR(I140="",H140=""),"",MAX(0,I140-H140))</f>
        <v/>
      </c>
      <c r="K140" s="7" t="n"/>
      <c r="L140" s="6" t="n"/>
      <c r="M140" s="7" t="n"/>
      <c r="N140" s="4">
        <f>IF(D140="","",IF(M140&lt;&gt;"",IF(M140-D140&gt;=2,"Đủ","Chưa"),IF(NOW()-D140&gt;=2,"Đủ","Chưa")))</f>
        <v/>
      </c>
      <c r="O140" s="8">
        <f>IF(L140="","",L140*0.05)</f>
        <v/>
      </c>
      <c r="P140" s="8">
        <f>IF(OR(L140="",C140=""),"",L140*0.95-C140)</f>
        <v/>
      </c>
      <c r="Q140" s="5" t="n"/>
    </row>
    <row r="141">
      <c r="A141" s="4">
        <f>IF(B141="","",ROW()-3)</f>
        <v/>
      </c>
      <c r="B141" s="5" t="n"/>
      <c r="C141" s="6" t="n"/>
      <c r="D141" s="7" t="n"/>
      <c r="E141" s="8">
        <f>IF(C141="","",C141*1.35)</f>
        <v/>
      </c>
      <c r="F141" s="9" t="n"/>
      <c r="G141" s="5" t="n"/>
      <c r="H141" s="6" t="n"/>
      <c r="I141" s="6" t="n"/>
      <c r="J141" s="8">
        <f>IF(OR(I141="",H141=""),"",MAX(0,I141-H141))</f>
        <v/>
      </c>
      <c r="K141" s="7" t="n"/>
      <c r="L141" s="6" t="n"/>
      <c r="M141" s="7" t="n"/>
      <c r="N141" s="4">
        <f>IF(D141="","",IF(M141&lt;&gt;"",IF(M141-D141&gt;=2,"Đủ","Chưa"),IF(NOW()-D141&gt;=2,"Đủ","Chưa")))</f>
        <v/>
      </c>
      <c r="O141" s="8">
        <f>IF(L141="","",L141*0.05)</f>
        <v/>
      </c>
      <c r="P141" s="8">
        <f>IF(OR(L141="",C141=""),"",L141*0.95-C141)</f>
        <v/>
      </c>
      <c r="Q141" s="5" t="n"/>
    </row>
    <row r="142">
      <c r="A142" s="4">
        <f>IF(B142="","",ROW()-3)</f>
        <v/>
      </c>
      <c r="B142" s="5" t="n"/>
      <c r="C142" s="6" t="n"/>
      <c r="D142" s="7" t="n"/>
      <c r="E142" s="8">
        <f>IF(C142="","",C142*1.35)</f>
        <v/>
      </c>
      <c r="F142" s="9" t="n"/>
      <c r="G142" s="5" t="n"/>
      <c r="H142" s="6" t="n"/>
      <c r="I142" s="6" t="n"/>
      <c r="J142" s="8">
        <f>IF(OR(I142="",H142=""),"",MAX(0,I142-H142))</f>
        <v/>
      </c>
      <c r="K142" s="7" t="n"/>
      <c r="L142" s="6" t="n"/>
      <c r="M142" s="7" t="n"/>
      <c r="N142" s="4">
        <f>IF(D142="","",IF(M142&lt;&gt;"",IF(M142-D142&gt;=2,"Đủ","Chưa"),IF(NOW()-D142&gt;=2,"Đủ","Chưa")))</f>
        <v/>
      </c>
      <c r="O142" s="8">
        <f>IF(L142="","",L142*0.05)</f>
        <v/>
      </c>
      <c r="P142" s="8">
        <f>IF(OR(L142="",C142=""),"",L142*0.95-C142)</f>
        <v/>
      </c>
      <c r="Q142" s="5" t="n"/>
    </row>
    <row r="143">
      <c r="A143" s="4">
        <f>IF(B143="","",ROW()-3)</f>
        <v/>
      </c>
      <c r="B143" s="5" t="n"/>
      <c r="C143" s="6" t="n"/>
      <c r="D143" s="7" t="n"/>
      <c r="E143" s="8">
        <f>IF(C143="","",C143*1.35)</f>
        <v/>
      </c>
      <c r="F143" s="9" t="n"/>
      <c r="G143" s="5" t="n"/>
      <c r="H143" s="6" t="n"/>
      <c r="I143" s="6" t="n"/>
      <c r="J143" s="8">
        <f>IF(OR(I143="",H143=""),"",MAX(0,I143-H143))</f>
        <v/>
      </c>
      <c r="K143" s="7" t="n"/>
      <c r="L143" s="6" t="n"/>
      <c r="M143" s="7" t="n"/>
      <c r="N143" s="4">
        <f>IF(D143="","",IF(M143&lt;&gt;"",IF(M143-D143&gt;=2,"Đủ","Chưa"),IF(NOW()-D143&gt;=2,"Đủ","Chưa")))</f>
        <v/>
      </c>
      <c r="O143" s="8">
        <f>IF(L143="","",L143*0.05)</f>
        <v/>
      </c>
      <c r="P143" s="8">
        <f>IF(OR(L143="",C143=""),"",L143*0.95-C143)</f>
        <v/>
      </c>
      <c r="Q143" s="5" t="n"/>
    </row>
    <row r="144">
      <c r="A144" s="4">
        <f>IF(B144="","",ROW()-3)</f>
        <v/>
      </c>
      <c r="B144" s="5" t="n"/>
      <c r="C144" s="6" t="n"/>
      <c r="D144" s="7" t="n"/>
      <c r="E144" s="8">
        <f>IF(C144="","",C144*1.35)</f>
        <v/>
      </c>
      <c r="F144" s="9" t="n"/>
      <c r="G144" s="5" t="n"/>
      <c r="H144" s="6" t="n"/>
      <c r="I144" s="6" t="n"/>
      <c r="J144" s="8">
        <f>IF(OR(I144="",H144=""),"",MAX(0,I144-H144))</f>
        <v/>
      </c>
      <c r="K144" s="7" t="n"/>
      <c r="L144" s="6" t="n"/>
      <c r="M144" s="7" t="n"/>
      <c r="N144" s="4">
        <f>IF(D144="","",IF(M144&lt;&gt;"",IF(M144-D144&gt;=2,"Đủ","Chưa"),IF(NOW()-D144&gt;=2,"Đủ","Chưa")))</f>
        <v/>
      </c>
      <c r="O144" s="8">
        <f>IF(L144="","",L144*0.05)</f>
        <v/>
      </c>
      <c r="P144" s="8">
        <f>IF(OR(L144="",C144=""),"",L144*0.95-C144)</f>
        <v/>
      </c>
      <c r="Q144" s="5" t="n"/>
    </row>
    <row r="145">
      <c r="A145" s="4">
        <f>IF(B145="","",ROW()-3)</f>
        <v/>
      </c>
      <c r="B145" s="5" t="n"/>
      <c r="C145" s="6" t="n"/>
      <c r="D145" s="7" t="n"/>
      <c r="E145" s="8">
        <f>IF(C145="","",C145*1.35)</f>
        <v/>
      </c>
      <c r="F145" s="9" t="n"/>
      <c r="G145" s="5" t="n"/>
      <c r="H145" s="6" t="n"/>
      <c r="I145" s="6" t="n"/>
      <c r="J145" s="8">
        <f>IF(OR(I145="",H145=""),"",MAX(0,I145-H145))</f>
        <v/>
      </c>
      <c r="K145" s="7" t="n"/>
      <c r="L145" s="6" t="n"/>
      <c r="M145" s="7" t="n"/>
      <c r="N145" s="4">
        <f>IF(D145="","",IF(M145&lt;&gt;"",IF(M145-D145&gt;=2,"Đủ","Chưa"),IF(NOW()-D145&gt;=2,"Đủ","Chưa")))</f>
        <v/>
      </c>
      <c r="O145" s="8">
        <f>IF(L145="","",L145*0.05)</f>
        <v/>
      </c>
      <c r="P145" s="8">
        <f>IF(OR(L145="",C145=""),"",L145*0.95-C145)</f>
        <v/>
      </c>
      <c r="Q145" s="5" t="n"/>
    </row>
    <row r="146">
      <c r="A146" s="4">
        <f>IF(B146="","",ROW()-3)</f>
        <v/>
      </c>
      <c r="B146" s="5" t="n"/>
      <c r="C146" s="6" t="n"/>
      <c r="D146" s="7" t="n"/>
      <c r="E146" s="8">
        <f>IF(C146="","",C146*1.35)</f>
        <v/>
      </c>
      <c r="F146" s="9" t="n"/>
      <c r="G146" s="5" t="n"/>
      <c r="H146" s="6" t="n"/>
      <c r="I146" s="6" t="n"/>
      <c r="J146" s="8">
        <f>IF(OR(I146="",H146=""),"",MAX(0,I146-H146))</f>
        <v/>
      </c>
      <c r="K146" s="7" t="n"/>
      <c r="L146" s="6" t="n"/>
      <c r="M146" s="7" t="n"/>
      <c r="N146" s="4">
        <f>IF(D146="","",IF(M146&lt;&gt;"",IF(M146-D146&gt;=2,"Đủ","Chưa"),IF(NOW()-D146&gt;=2,"Đủ","Chưa")))</f>
        <v/>
      </c>
      <c r="O146" s="8">
        <f>IF(L146="","",L146*0.05)</f>
        <v/>
      </c>
      <c r="P146" s="8">
        <f>IF(OR(L146="",C146=""),"",L146*0.95-C146)</f>
        <v/>
      </c>
      <c r="Q146" s="5" t="n"/>
    </row>
    <row r="147">
      <c r="A147" s="4">
        <f>IF(B147="","",ROW()-3)</f>
        <v/>
      </c>
      <c r="B147" s="5" t="n"/>
      <c r="C147" s="6" t="n"/>
      <c r="D147" s="7" t="n"/>
      <c r="E147" s="8">
        <f>IF(C147="","",C147*1.35)</f>
        <v/>
      </c>
      <c r="F147" s="9" t="n"/>
      <c r="G147" s="5" t="n"/>
      <c r="H147" s="6" t="n"/>
      <c r="I147" s="6" t="n"/>
      <c r="J147" s="8">
        <f>IF(OR(I147="",H147=""),"",MAX(0,I147-H147))</f>
        <v/>
      </c>
      <c r="K147" s="7" t="n"/>
      <c r="L147" s="6" t="n"/>
      <c r="M147" s="7" t="n"/>
      <c r="N147" s="4">
        <f>IF(D147="","",IF(M147&lt;&gt;"",IF(M147-D147&gt;=2,"Đủ","Chưa"),IF(NOW()-D147&gt;=2,"Đủ","Chưa")))</f>
        <v/>
      </c>
      <c r="O147" s="8">
        <f>IF(L147="","",L147*0.05)</f>
        <v/>
      </c>
      <c r="P147" s="8">
        <f>IF(OR(L147="",C147=""),"",L147*0.95-C147)</f>
        <v/>
      </c>
      <c r="Q147" s="5" t="n"/>
    </row>
    <row r="148">
      <c r="A148" s="4">
        <f>IF(B148="","",ROW()-3)</f>
        <v/>
      </c>
      <c r="B148" s="5" t="n"/>
      <c r="C148" s="6" t="n"/>
      <c r="D148" s="7" t="n"/>
      <c r="E148" s="8">
        <f>IF(C148="","",C148*1.35)</f>
        <v/>
      </c>
      <c r="F148" s="9" t="n"/>
      <c r="G148" s="5" t="n"/>
      <c r="H148" s="6" t="n"/>
      <c r="I148" s="6" t="n"/>
      <c r="J148" s="8">
        <f>IF(OR(I148="",H148=""),"",MAX(0,I148-H148))</f>
        <v/>
      </c>
      <c r="K148" s="7" t="n"/>
      <c r="L148" s="6" t="n"/>
      <c r="M148" s="7" t="n"/>
      <c r="N148" s="4">
        <f>IF(D148="","",IF(M148&lt;&gt;"",IF(M148-D148&gt;=2,"Đủ","Chưa"),IF(NOW()-D148&gt;=2,"Đủ","Chưa")))</f>
        <v/>
      </c>
      <c r="O148" s="8">
        <f>IF(L148="","",L148*0.05)</f>
        <v/>
      </c>
      <c r="P148" s="8">
        <f>IF(OR(L148="",C148=""),"",L148*0.95-C148)</f>
        <v/>
      </c>
      <c r="Q148" s="5" t="n"/>
    </row>
    <row r="149">
      <c r="A149" s="4">
        <f>IF(B149="","",ROW()-3)</f>
        <v/>
      </c>
      <c r="B149" s="5" t="n"/>
      <c r="C149" s="6" t="n"/>
      <c r="D149" s="7" t="n"/>
      <c r="E149" s="8">
        <f>IF(C149="","",C149*1.35)</f>
        <v/>
      </c>
      <c r="F149" s="9" t="n"/>
      <c r="G149" s="5" t="n"/>
      <c r="H149" s="6" t="n"/>
      <c r="I149" s="6" t="n"/>
      <c r="J149" s="8">
        <f>IF(OR(I149="",H149=""),"",MAX(0,I149-H149))</f>
        <v/>
      </c>
      <c r="K149" s="7" t="n"/>
      <c r="L149" s="6" t="n"/>
      <c r="M149" s="7" t="n"/>
      <c r="N149" s="4">
        <f>IF(D149="","",IF(M149&lt;&gt;"",IF(M149-D149&gt;=2,"Đủ","Chưa"),IF(NOW()-D149&gt;=2,"Đủ","Chưa")))</f>
        <v/>
      </c>
      <c r="O149" s="8">
        <f>IF(L149="","",L149*0.05)</f>
        <v/>
      </c>
      <c r="P149" s="8">
        <f>IF(OR(L149="",C149=""),"",L149*0.95-C149)</f>
        <v/>
      </c>
      <c r="Q149" s="5" t="n"/>
    </row>
    <row r="150">
      <c r="A150" s="4">
        <f>IF(B150="","",ROW()-3)</f>
        <v/>
      </c>
      <c r="B150" s="5" t="n"/>
      <c r="C150" s="6" t="n"/>
      <c r="D150" s="7" t="n"/>
      <c r="E150" s="8">
        <f>IF(C150="","",C150*1.35)</f>
        <v/>
      </c>
      <c r="F150" s="9" t="n"/>
      <c r="G150" s="5" t="n"/>
      <c r="H150" s="6" t="n"/>
      <c r="I150" s="6" t="n"/>
      <c r="J150" s="8">
        <f>IF(OR(I150="",H150=""),"",MAX(0,I150-H150))</f>
        <v/>
      </c>
      <c r="K150" s="7" t="n"/>
      <c r="L150" s="6" t="n"/>
      <c r="M150" s="7" t="n"/>
      <c r="N150" s="4">
        <f>IF(D150="","",IF(M150&lt;&gt;"",IF(M150-D150&gt;=2,"Đủ","Chưa"),IF(NOW()-D150&gt;=2,"Đủ","Chưa")))</f>
        <v/>
      </c>
      <c r="O150" s="8">
        <f>IF(L150="","",L150*0.05)</f>
        <v/>
      </c>
      <c r="P150" s="8">
        <f>IF(OR(L150="",C150=""),"",L150*0.95-C150)</f>
        <v/>
      </c>
      <c r="Q150" s="5" t="n"/>
    </row>
    <row r="151">
      <c r="A151" s="4">
        <f>IF(B151="","",ROW()-3)</f>
        <v/>
      </c>
      <c r="B151" s="5" t="n"/>
      <c r="C151" s="6" t="n"/>
      <c r="D151" s="7" t="n"/>
      <c r="E151" s="8">
        <f>IF(C151="","",C151*1.35)</f>
        <v/>
      </c>
      <c r="F151" s="9" t="n"/>
      <c r="G151" s="5" t="n"/>
      <c r="H151" s="6" t="n"/>
      <c r="I151" s="6" t="n"/>
      <c r="J151" s="8">
        <f>IF(OR(I151="",H151=""),"",MAX(0,I151-H151))</f>
        <v/>
      </c>
      <c r="K151" s="7" t="n"/>
      <c r="L151" s="6" t="n"/>
      <c r="M151" s="7" t="n"/>
      <c r="N151" s="4">
        <f>IF(D151="","",IF(M151&lt;&gt;"",IF(M151-D151&gt;=2,"Đủ","Chưa"),IF(NOW()-D151&gt;=2,"Đủ","Chưa")))</f>
        <v/>
      </c>
      <c r="O151" s="8">
        <f>IF(L151="","",L151*0.05)</f>
        <v/>
      </c>
      <c r="P151" s="8">
        <f>IF(OR(L151="",C151=""),"",L151*0.95-C151)</f>
        <v/>
      </c>
      <c r="Q151" s="5" t="n"/>
    </row>
    <row r="152">
      <c r="A152" s="4">
        <f>IF(B152="","",ROW()-3)</f>
        <v/>
      </c>
      <c r="B152" s="5" t="n"/>
      <c r="C152" s="6" t="n"/>
      <c r="D152" s="7" t="n"/>
      <c r="E152" s="8">
        <f>IF(C152="","",C152*1.35)</f>
        <v/>
      </c>
      <c r="F152" s="9" t="n"/>
      <c r="G152" s="5" t="n"/>
      <c r="H152" s="6" t="n"/>
      <c r="I152" s="6" t="n"/>
      <c r="J152" s="8">
        <f>IF(OR(I152="",H152=""),"",MAX(0,I152-H152))</f>
        <v/>
      </c>
      <c r="K152" s="7" t="n"/>
      <c r="L152" s="6" t="n"/>
      <c r="M152" s="7" t="n"/>
      <c r="N152" s="4">
        <f>IF(D152="","",IF(M152&lt;&gt;"",IF(M152-D152&gt;=2,"Đủ","Chưa"),IF(NOW()-D152&gt;=2,"Đủ","Chưa")))</f>
        <v/>
      </c>
      <c r="O152" s="8">
        <f>IF(L152="","",L152*0.05)</f>
        <v/>
      </c>
      <c r="P152" s="8">
        <f>IF(OR(L152="",C152=""),"",L152*0.95-C152)</f>
        <v/>
      </c>
      <c r="Q152" s="5" t="n"/>
    </row>
    <row r="153">
      <c r="A153" s="4">
        <f>IF(B153="","",ROW()-3)</f>
        <v/>
      </c>
      <c r="B153" s="5" t="n"/>
      <c r="C153" s="6" t="n"/>
      <c r="D153" s="7" t="n"/>
      <c r="E153" s="8">
        <f>IF(C153="","",C153*1.35)</f>
        <v/>
      </c>
      <c r="F153" s="9" t="n"/>
      <c r="G153" s="5" t="n"/>
      <c r="H153" s="6" t="n"/>
      <c r="I153" s="6" t="n"/>
      <c r="J153" s="8">
        <f>IF(OR(I153="",H153=""),"",MAX(0,I153-H153))</f>
        <v/>
      </c>
      <c r="K153" s="7" t="n"/>
      <c r="L153" s="6" t="n"/>
      <c r="M153" s="7" t="n"/>
      <c r="N153" s="4">
        <f>IF(D153="","",IF(M153&lt;&gt;"",IF(M153-D153&gt;=2,"Đủ","Chưa"),IF(NOW()-D153&gt;=2,"Đủ","Chưa")))</f>
        <v/>
      </c>
      <c r="O153" s="8">
        <f>IF(L153="","",L153*0.05)</f>
        <v/>
      </c>
      <c r="P153" s="8">
        <f>IF(OR(L153="",C153=""),"",L153*0.95-C153)</f>
        <v/>
      </c>
      <c r="Q153" s="5" t="n"/>
    </row>
    <row r="154">
      <c r="A154" s="4">
        <f>IF(B154="","",ROW()-3)</f>
        <v/>
      </c>
      <c r="B154" s="5" t="n"/>
      <c r="C154" s="6" t="n"/>
      <c r="D154" s="7" t="n"/>
      <c r="E154" s="8">
        <f>IF(C154="","",C154*1.35)</f>
        <v/>
      </c>
      <c r="F154" s="9" t="n"/>
      <c r="G154" s="5" t="n"/>
      <c r="H154" s="6" t="n"/>
      <c r="I154" s="6" t="n"/>
      <c r="J154" s="8">
        <f>IF(OR(I154="",H154=""),"",MAX(0,I154-H154))</f>
        <v/>
      </c>
      <c r="K154" s="7" t="n"/>
      <c r="L154" s="6" t="n"/>
      <c r="M154" s="7" t="n"/>
      <c r="N154" s="4">
        <f>IF(D154="","",IF(M154&lt;&gt;"",IF(M154-D154&gt;=2,"Đủ","Chưa"),IF(NOW()-D154&gt;=2,"Đủ","Chưa")))</f>
        <v/>
      </c>
      <c r="O154" s="8">
        <f>IF(L154="","",L154*0.05)</f>
        <v/>
      </c>
      <c r="P154" s="8">
        <f>IF(OR(L154="",C154=""),"",L154*0.95-C154)</f>
        <v/>
      </c>
      <c r="Q154" s="5" t="n"/>
    </row>
    <row r="155">
      <c r="A155" s="4">
        <f>IF(B155="","",ROW()-3)</f>
        <v/>
      </c>
      <c r="B155" s="5" t="n"/>
      <c r="C155" s="6" t="n"/>
      <c r="D155" s="7" t="n"/>
      <c r="E155" s="8">
        <f>IF(C155="","",C155*1.35)</f>
        <v/>
      </c>
      <c r="F155" s="9" t="n"/>
      <c r="G155" s="5" t="n"/>
      <c r="H155" s="6" t="n"/>
      <c r="I155" s="6" t="n"/>
      <c r="J155" s="8">
        <f>IF(OR(I155="",H155=""),"",MAX(0,I155-H155))</f>
        <v/>
      </c>
      <c r="K155" s="7" t="n"/>
      <c r="L155" s="6" t="n"/>
      <c r="M155" s="7" t="n"/>
      <c r="N155" s="4">
        <f>IF(D155="","",IF(M155&lt;&gt;"",IF(M155-D155&gt;=2,"Đủ","Chưa"),IF(NOW()-D155&gt;=2,"Đủ","Chưa")))</f>
        <v/>
      </c>
      <c r="O155" s="8">
        <f>IF(L155="","",L155*0.05)</f>
        <v/>
      </c>
      <c r="P155" s="8">
        <f>IF(OR(L155="",C155=""),"",L155*0.95-C155)</f>
        <v/>
      </c>
      <c r="Q155" s="5" t="n"/>
    </row>
    <row r="156">
      <c r="A156" s="4">
        <f>IF(B156="","",ROW()-3)</f>
        <v/>
      </c>
      <c r="B156" s="5" t="n"/>
      <c r="C156" s="6" t="n"/>
      <c r="D156" s="7" t="n"/>
      <c r="E156" s="8">
        <f>IF(C156="","",C156*1.35)</f>
        <v/>
      </c>
      <c r="F156" s="9" t="n"/>
      <c r="G156" s="5" t="n"/>
      <c r="H156" s="6" t="n"/>
      <c r="I156" s="6" t="n"/>
      <c r="J156" s="8">
        <f>IF(OR(I156="",H156=""),"",MAX(0,I156-H156))</f>
        <v/>
      </c>
      <c r="K156" s="7" t="n"/>
      <c r="L156" s="6" t="n"/>
      <c r="M156" s="7" t="n"/>
      <c r="N156" s="4">
        <f>IF(D156="","",IF(M156&lt;&gt;"",IF(M156-D156&gt;=2,"Đủ","Chưa"),IF(NOW()-D156&gt;=2,"Đủ","Chưa")))</f>
        <v/>
      </c>
      <c r="O156" s="8">
        <f>IF(L156="","",L156*0.05)</f>
        <v/>
      </c>
      <c r="P156" s="8">
        <f>IF(OR(L156="",C156=""),"",L156*0.95-C156)</f>
        <v/>
      </c>
      <c r="Q156" s="5" t="n"/>
    </row>
    <row r="157">
      <c r="A157" s="4">
        <f>IF(B157="","",ROW()-3)</f>
        <v/>
      </c>
      <c r="B157" s="5" t="n"/>
      <c r="C157" s="6" t="n"/>
      <c r="D157" s="7" t="n"/>
      <c r="E157" s="8">
        <f>IF(C157="","",C157*1.35)</f>
        <v/>
      </c>
      <c r="F157" s="9" t="n"/>
      <c r="G157" s="5" t="n"/>
      <c r="H157" s="6" t="n"/>
      <c r="I157" s="6" t="n"/>
      <c r="J157" s="8">
        <f>IF(OR(I157="",H157=""),"",MAX(0,I157-H157))</f>
        <v/>
      </c>
      <c r="K157" s="7" t="n"/>
      <c r="L157" s="6" t="n"/>
      <c r="M157" s="7" t="n"/>
      <c r="N157" s="4">
        <f>IF(D157="","",IF(M157&lt;&gt;"",IF(M157-D157&gt;=2,"Đủ","Chưa"),IF(NOW()-D157&gt;=2,"Đủ","Chưa")))</f>
        <v/>
      </c>
      <c r="O157" s="8">
        <f>IF(L157="","",L157*0.05)</f>
        <v/>
      </c>
      <c r="P157" s="8">
        <f>IF(OR(L157="",C157=""),"",L157*0.95-C157)</f>
        <v/>
      </c>
      <c r="Q157" s="5" t="n"/>
    </row>
    <row r="158">
      <c r="A158" s="4">
        <f>IF(B158="","",ROW()-3)</f>
        <v/>
      </c>
      <c r="B158" s="5" t="n"/>
      <c r="C158" s="6" t="n"/>
      <c r="D158" s="7" t="n"/>
      <c r="E158" s="8">
        <f>IF(C158="","",C158*1.35)</f>
        <v/>
      </c>
      <c r="F158" s="9" t="n"/>
      <c r="G158" s="5" t="n"/>
      <c r="H158" s="6" t="n"/>
      <c r="I158" s="6" t="n"/>
      <c r="J158" s="8">
        <f>IF(OR(I158="",H158=""),"",MAX(0,I158-H158))</f>
        <v/>
      </c>
      <c r="K158" s="7" t="n"/>
      <c r="L158" s="6" t="n"/>
      <c r="M158" s="7" t="n"/>
      <c r="N158" s="4">
        <f>IF(D158="","",IF(M158&lt;&gt;"",IF(M158-D158&gt;=2,"Đủ","Chưa"),IF(NOW()-D158&gt;=2,"Đủ","Chưa")))</f>
        <v/>
      </c>
      <c r="O158" s="8">
        <f>IF(L158="","",L158*0.05)</f>
        <v/>
      </c>
      <c r="P158" s="8">
        <f>IF(OR(L158="",C158=""),"",L158*0.95-C158)</f>
        <v/>
      </c>
      <c r="Q158" s="5" t="n"/>
    </row>
    <row r="159">
      <c r="A159" s="4">
        <f>IF(B159="","",ROW()-3)</f>
        <v/>
      </c>
      <c r="B159" s="5" t="n"/>
      <c r="C159" s="6" t="n"/>
      <c r="D159" s="7" t="n"/>
      <c r="E159" s="8">
        <f>IF(C159="","",C159*1.35)</f>
        <v/>
      </c>
      <c r="F159" s="9" t="n"/>
      <c r="G159" s="5" t="n"/>
      <c r="H159" s="6" t="n"/>
      <c r="I159" s="6" t="n"/>
      <c r="J159" s="8">
        <f>IF(OR(I159="",H159=""),"",MAX(0,I159-H159))</f>
        <v/>
      </c>
      <c r="K159" s="7" t="n"/>
      <c r="L159" s="6" t="n"/>
      <c r="M159" s="7" t="n"/>
      <c r="N159" s="4">
        <f>IF(D159="","",IF(M159&lt;&gt;"",IF(M159-D159&gt;=2,"Đủ","Chưa"),IF(NOW()-D159&gt;=2,"Đủ","Chưa")))</f>
        <v/>
      </c>
      <c r="O159" s="8">
        <f>IF(L159="","",L159*0.05)</f>
        <v/>
      </c>
      <c r="P159" s="8">
        <f>IF(OR(L159="",C159=""),"",L159*0.95-C159)</f>
        <v/>
      </c>
      <c r="Q159" s="5" t="n"/>
    </row>
    <row r="160">
      <c r="A160" s="4">
        <f>IF(B160="","",ROW()-3)</f>
        <v/>
      </c>
      <c r="B160" s="5" t="n"/>
      <c r="C160" s="6" t="n"/>
      <c r="D160" s="7" t="n"/>
      <c r="E160" s="8">
        <f>IF(C160="","",C160*1.35)</f>
        <v/>
      </c>
      <c r="F160" s="9" t="n"/>
      <c r="G160" s="5" t="n"/>
      <c r="H160" s="6" t="n"/>
      <c r="I160" s="6" t="n"/>
      <c r="J160" s="8">
        <f>IF(OR(I160="",H160=""),"",MAX(0,I160-H160))</f>
        <v/>
      </c>
      <c r="K160" s="7" t="n"/>
      <c r="L160" s="6" t="n"/>
      <c r="M160" s="7" t="n"/>
      <c r="N160" s="4">
        <f>IF(D160="","",IF(M160&lt;&gt;"",IF(M160-D160&gt;=2,"Đủ","Chưa"),IF(NOW()-D160&gt;=2,"Đủ","Chưa")))</f>
        <v/>
      </c>
      <c r="O160" s="8">
        <f>IF(L160="","",L160*0.05)</f>
        <v/>
      </c>
      <c r="P160" s="8">
        <f>IF(OR(L160="",C160=""),"",L160*0.95-C160)</f>
        <v/>
      </c>
      <c r="Q160" s="5" t="n"/>
    </row>
    <row r="161">
      <c r="A161" s="4">
        <f>IF(B161="","",ROW()-3)</f>
        <v/>
      </c>
      <c r="B161" s="5" t="n"/>
      <c r="C161" s="6" t="n"/>
      <c r="D161" s="7" t="n"/>
      <c r="E161" s="8">
        <f>IF(C161="","",C161*1.35)</f>
        <v/>
      </c>
      <c r="F161" s="9" t="n"/>
      <c r="G161" s="5" t="n"/>
      <c r="H161" s="6" t="n"/>
      <c r="I161" s="6" t="n"/>
      <c r="J161" s="8">
        <f>IF(OR(I161="",H161=""),"",MAX(0,I161-H161))</f>
        <v/>
      </c>
      <c r="K161" s="7" t="n"/>
      <c r="L161" s="6" t="n"/>
      <c r="M161" s="7" t="n"/>
      <c r="N161" s="4">
        <f>IF(D161="","",IF(M161&lt;&gt;"",IF(M161-D161&gt;=2,"Đủ","Chưa"),IF(NOW()-D161&gt;=2,"Đủ","Chưa")))</f>
        <v/>
      </c>
      <c r="O161" s="8">
        <f>IF(L161="","",L161*0.05)</f>
        <v/>
      </c>
      <c r="P161" s="8">
        <f>IF(OR(L161="",C161=""),"",L161*0.95-C161)</f>
        <v/>
      </c>
      <c r="Q161" s="5" t="n"/>
    </row>
    <row r="162">
      <c r="A162" s="4">
        <f>IF(B162="","",ROW()-3)</f>
        <v/>
      </c>
      <c r="B162" s="5" t="n"/>
      <c r="C162" s="6" t="n"/>
      <c r="D162" s="7" t="n"/>
      <c r="E162" s="8">
        <f>IF(C162="","",C162*1.35)</f>
        <v/>
      </c>
      <c r="F162" s="9" t="n"/>
      <c r="G162" s="5" t="n"/>
      <c r="H162" s="6" t="n"/>
      <c r="I162" s="6" t="n"/>
      <c r="J162" s="8">
        <f>IF(OR(I162="",H162=""),"",MAX(0,I162-H162))</f>
        <v/>
      </c>
      <c r="K162" s="7" t="n"/>
      <c r="L162" s="6" t="n"/>
      <c r="M162" s="7" t="n"/>
      <c r="N162" s="4">
        <f>IF(D162="","",IF(M162&lt;&gt;"",IF(M162-D162&gt;=2,"Đủ","Chưa"),IF(NOW()-D162&gt;=2,"Đủ","Chưa")))</f>
        <v/>
      </c>
      <c r="O162" s="8">
        <f>IF(L162="","",L162*0.05)</f>
        <v/>
      </c>
      <c r="P162" s="8">
        <f>IF(OR(L162="",C162=""),"",L162*0.95-C162)</f>
        <v/>
      </c>
      <c r="Q162" s="5" t="n"/>
    </row>
    <row r="163">
      <c r="A163" s="4">
        <f>IF(B163="","",ROW()-3)</f>
        <v/>
      </c>
      <c r="B163" s="5" t="n"/>
      <c r="C163" s="6" t="n"/>
      <c r="D163" s="7" t="n"/>
      <c r="E163" s="8">
        <f>IF(C163="","",C163*1.35)</f>
        <v/>
      </c>
      <c r="F163" s="9" t="n"/>
      <c r="G163" s="5" t="n"/>
      <c r="H163" s="6" t="n"/>
      <c r="I163" s="6" t="n"/>
      <c r="J163" s="8">
        <f>IF(OR(I163="",H163=""),"",MAX(0,I163-H163))</f>
        <v/>
      </c>
      <c r="K163" s="7" t="n"/>
      <c r="L163" s="6" t="n"/>
      <c r="M163" s="7" t="n"/>
      <c r="N163" s="4">
        <f>IF(D163="","",IF(M163&lt;&gt;"",IF(M163-D163&gt;=2,"Đủ","Chưa"),IF(NOW()-D163&gt;=2,"Đủ","Chưa")))</f>
        <v/>
      </c>
      <c r="O163" s="8">
        <f>IF(L163="","",L163*0.05)</f>
        <v/>
      </c>
      <c r="P163" s="8">
        <f>IF(OR(L163="",C163=""),"",L163*0.95-C163)</f>
        <v/>
      </c>
      <c r="Q163" s="5" t="n"/>
    </row>
    <row r="164">
      <c r="A164" s="4">
        <f>IF(B164="","",ROW()-3)</f>
        <v/>
      </c>
      <c r="B164" s="5" t="n"/>
      <c r="C164" s="6" t="n"/>
      <c r="D164" s="7" t="n"/>
      <c r="E164" s="8">
        <f>IF(C164="","",C164*1.35)</f>
        <v/>
      </c>
      <c r="F164" s="9" t="n"/>
      <c r="G164" s="5" t="n"/>
      <c r="H164" s="6" t="n"/>
      <c r="I164" s="6" t="n"/>
      <c r="J164" s="8">
        <f>IF(OR(I164="",H164=""),"",MAX(0,I164-H164))</f>
        <v/>
      </c>
      <c r="K164" s="7" t="n"/>
      <c r="L164" s="6" t="n"/>
      <c r="M164" s="7" t="n"/>
      <c r="N164" s="4">
        <f>IF(D164="","",IF(M164&lt;&gt;"",IF(M164-D164&gt;=2,"Đủ","Chưa"),IF(NOW()-D164&gt;=2,"Đủ","Chưa")))</f>
        <v/>
      </c>
      <c r="O164" s="8">
        <f>IF(L164="","",L164*0.05)</f>
        <v/>
      </c>
      <c r="P164" s="8">
        <f>IF(OR(L164="",C164=""),"",L164*0.95-C164)</f>
        <v/>
      </c>
      <c r="Q164" s="5" t="n"/>
    </row>
    <row r="165">
      <c r="A165" s="4">
        <f>IF(B165="","",ROW()-3)</f>
        <v/>
      </c>
      <c r="B165" s="5" t="n"/>
      <c r="C165" s="6" t="n"/>
      <c r="D165" s="7" t="n"/>
      <c r="E165" s="8">
        <f>IF(C165="","",C165*1.35)</f>
        <v/>
      </c>
      <c r="F165" s="9" t="n"/>
      <c r="G165" s="5" t="n"/>
      <c r="H165" s="6" t="n"/>
      <c r="I165" s="6" t="n"/>
      <c r="J165" s="8">
        <f>IF(OR(I165="",H165=""),"",MAX(0,I165-H165))</f>
        <v/>
      </c>
      <c r="K165" s="7" t="n"/>
      <c r="L165" s="6" t="n"/>
      <c r="M165" s="7" t="n"/>
      <c r="N165" s="4">
        <f>IF(D165="","",IF(M165&lt;&gt;"",IF(M165-D165&gt;=2,"Đủ","Chưa"),IF(NOW()-D165&gt;=2,"Đủ","Chưa")))</f>
        <v/>
      </c>
      <c r="O165" s="8">
        <f>IF(L165="","",L165*0.05)</f>
        <v/>
      </c>
      <c r="P165" s="8">
        <f>IF(OR(L165="",C165=""),"",L165*0.95-C165)</f>
        <v/>
      </c>
      <c r="Q165" s="5" t="n"/>
    </row>
    <row r="166">
      <c r="A166" s="4">
        <f>IF(B166="","",ROW()-3)</f>
        <v/>
      </c>
      <c r="B166" s="5" t="n"/>
      <c r="C166" s="6" t="n"/>
      <c r="D166" s="7" t="n"/>
      <c r="E166" s="8">
        <f>IF(C166="","",C166*1.35)</f>
        <v/>
      </c>
      <c r="F166" s="9" t="n"/>
      <c r="G166" s="5" t="n"/>
      <c r="H166" s="6" t="n"/>
      <c r="I166" s="6" t="n"/>
      <c r="J166" s="8">
        <f>IF(OR(I166="",H166=""),"",MAX(0,I166-H166))</f>
        <v/>
      </c>
      <c r="K166" s="7" t="n"/>
      <c r="L166" s="6" t="n"/>
      <c r="M166" s="7" t="n"/>
      <c r="N166" s="4">
        <f>IF(D166="","",IF(M166&lt;&gt;"",IF(M166-D166&gt;=2,"Đủ","Chưa"),IF(NOW()-D166&gt;=2,"Đủ","Chưa")))</f>
        <v/>
      </c>
      <c r="O166" s="8">
        <f>IF(L166="","",L166*0.05)</f>
        <v/>
      </c>
      <c r="P166" s="8">
        <f>IF(OR(L166="",C166=""),"",L166*0.95-C166)</f>
        <v/>
      </c>
      <c r="Q166" s="5" t="n"/>
    </row>
    <row r="167">
      <c r="A167" s="4">
        <f>IF(B167="","",ROW()-3)</f>
        <v/>
      </c>
      <c r="B167" s="5" t="n"/>
      <c r="C167" s="6" t="n"/>
      <c r="D167" s="7" t="n"/>
      <c r="E167" s="8">
        <f>IF(C167="","",C167*1.35)</f>
        <v/>
      </c>
      <c r="F167" s="9" t="n"/>
      <c r="G167" s="5" t="n"/>
      <c r="H167" s="6" t="n"/>
      <c r="I167" s="6" t="n"/>
      <c r="J167" s="8">
        <f>IF(OR(I167="",H167=""),"",MAX(0,I167-H167))</f>
        <v/>
      </c>
      <c r="K167" s="7" t="n"/>
      <c r="L167" s="6" t="n"/>
      <c r="M167" s="7" t="n"/>
      <c r="N167" s="4">
        <f>IF(D167="","",IF(M167&lt;&gt;"",IF(M167-D167&gt;=2,"Đủ","Chưa"),IF(NOW()-D167&gt;=2,"Đủ","Chưa")))</f>
        <v/>
      </c>
      <c r="O167" s="8">
        <f>IF(L167="","",L167*0.05)</f>
        <v/>
      </c>
      <c r="P167" s="8">
        <f>IF(OR(L167="",C167=""),"",L167*0.95-C167)</f>
        <v/>
      </c>
      <c r="Q167" s="5" t="n"/>
    </row>
    <row r="168">
      <c r="A168" s="4">
        <f>IF(B168="","",ROW()-3)</f>
        <v/>
      </c>
      <c r="B168" s="5" t="n"/>
      <c r="C168" s="6" t="n"/>
      <c r="D168" s="7" t="n"/>
      <c r="E168" s="8">
        <f>IF(C168="","",C168*1.35)</f>
        <v/>
      </c>
      <c r="F168" s="9" t="n"/>
      <c r="G168" s="5" t="n"/>
      <c r="H168" s="6" t="n"/>
      <c r="I168" s="6" t="n"/>
      <c r="J168" s="8">
        <f>IF(OR(I168="",H168=""),"",MAX(0,I168-H168))</f>
        <v/>
      </c>
      <c r="K168" s="7" t="n"/>
      <c r="L168" s="6" t="n"/>
      <c r="M168" s="7" t="n"/>
      <c r="N168" s="4">
        <f>IF(D168="","",IF(M168&lt;&gt;"",IF(M168-D168&gt;=2,"Đủ","Chưa"),IF(NOW()-D168&gt;=2,"Đủ","Chưa")))</f>
        <v/>
      </c>
      <c r="O168" s="8">
        <f>IF(L168="","",L168*0.05)</f>
        <v/>
      </c>
      <c r="P168" s="8">
        <f>IF(OR(L168="",C168=""),"",L168*0.95-C168)</f>
        <v/>
      </c>
      <c r="Q168" s="5" t="n"/>
    </row>
    <row r="169">
      <c r="A169" s="4">
        <f>IF(B169="","",ROW()-3)</f>
        <v/>
      </c>
      <c r="B169" s="5" t="n"/>
      <c r="C169" s="6" t="n"/>
      <c r="D169" s="7" t="n"/>
      <c r="E169" s="8">
        <f>IF(C169="","",C169*1.35)</f>
        <v/>
      </c>
      <c r="F169" s="9" t="n"/>
      <c r="G169" s="5" t="n"/>
      <c r="H169" s="6" t="n"/>
      <c r="I169" s="6" t="n"/>
      <c r="J169" s="8">
        <f>IF(OR(I169="",H169=""),"",MAX(0,I169-H169))</f>
        <v/>
      </c>
      <c r="K169" s="7" t="n"/>
      <c r="L169" s="6" t="n"/>
      <c r="M169" s="7" t="n"/>
      <c r="N169" s="4">
        <f>IF(D169="","",IF(M169&lt;&gt;"",IF(M169-D169&gt;=2,"Đủ","Chưa"),IF(NOW()-D169&gt;=2,"Đủ","Chưa")))</f>
        <v/>
      </c>
      <c r="O169" s="8">
        <f>IF(L169="","",L169*0.05)</f>
        <v/>
      </c>
      <c r="P169" s="8">
        <f>IF(OR(L169="",C169=""),"",L169*0.95-C169)</f>
        <v/>
      </c>
      <c r="Q169" s="5" t="n"/>
    </row>
    <row r="170">
      <c r="A170" s="4">
        <f>IF(B170="","",ROW()-3)</f>
        <v/>
      </c>
      <c r="B170" s="5" t="n"/>
      <c r="C170" s="6" t="n"/>
      <c r="D170" s="7" t="n"/>
      <c r="E170" s="8">
        <f>IF(C170="","",C170*1.35)</f>
        <v/>
      </c>
      <c r="F170" s="9" t="n"/>
      <c r="G170" s="5" t="n"/>
      <c r="H170" s="6" t="n"/>
      <c r="I170" s="6" t="n"/>
      <c r="J170" s="8">
        <f>IF(OR(I170="",H170=""),"",MAX(0,I170-H170))</f>
        <v/>
      </c>
      <c r="K170" s="7" t="n"/>
      <c r="L170" s="6" t="n"/>
      <c r="M170" s="7" t="n"/>
      <c r="N170" s="4">
        <f>IF(D170="","",IF(M170&lt;&gt;"",IF(M170-D170&gt;=2,"Đủ","Chưa"),IF(NOW()-D170&gt;=2,"Đủ","Chưa")))</f>
        <v/>
      </c>
      <c r="O170" s="8">
        <f>IF(L170="","",L170*0.05)</f>
        <v/>
      </c>
      <c r="P170" s="8">
        <f>IF(OR(L170="",C170=""),"",L170*0.95-C170)</f>
        <v/>
      </c>
      <c r="Q170" s="5" t="n"/>
    </row>
    <row r="171">
      <c r="A171" s="4">
        <f>IF(B171="","",ROW()-3)</f>
        <v/>
      </c>
      <c r="B171" s="5" t="n"/>
      <c r="C171" s="6" t="n"/>
      <c r="D171" s="7" t="n"/>
      <c r="E171" s="8">
        <f>IF(C171="","",C171*1.35)</f>
        <v/>
      </c>
      <c r="F171" s="9" t="n"/>
      <c r="G171" s="5" t="n"/>
      <c r="H171" s="6" t="n"/>
      <c r="I171" s="6" t="n"/>
      <c r="J171" s="8">
        <f>IF(OR(I171="",H171=""),"",MAX(0,I171-H171))</f>
        <v/>
      </c>
      <c r="K171" s="7" t="n"/>
      <c r="L171" s="6" t="n"/>
      <c r="M171" s="7" t="n"/>
      <c r="N171" s="4">
        <f>IF(D171="","",IF(M171&lt;&gt;"",IF(M171-D171&gt;=2,"Đủ","Chưa"),IF(NOW()-D171&gt;=2,"Đủ","Chưa")))</f>
        <v/>
      </c>
      <c r="O171" s="8">
        <f>IF(L171="","",L171*0.05)</f>
        <v/>
      </c>
      <c r="P171" s="8">
        <f>IF(OR(L171="",C171=""),"",L171*0.95-C171)</f>
        <v/>
      </c>
      <c r="Q171" s="5" t="n"/>
    </row>
    <row r="172">
      <c r="A172" s="4">
        <f>IF(B172="","",ROW()-3)</f>
        <v/>
      </c>
      <c r="B172" s="5" t="n"/>
      <c r="C172" s="6" t="n"/>
      <c r="D172" s="7" t="n"/>
      <c r="E172" s="8">
        <f>IF(C172="","",C172*1.35)</f>
        <v/>
      </c>
      <c r="F172" s="9" t="n"/>
      <c r="G172" s="5" t="n"/>
      <c r="H172" s="6" t="n"/>
      <c r="I172" s="6" t="n"/>
      <c r="J172" s="8">
        <f>IF(OR(I172="",H172=""),"",MAX(0,I172-H172))</f>
        <v/>
      </c>
      <c r="K172" s="7" t="n"/>
      <c r="L172" s="6" t="n"/>
      <c r="M172" s="7" t="n"/>
      <c r="N172" s="4">
        <f>IF(D172="","",IF(M172&lt;&gt;"",IF(M172-D172&gt;=2,"Đủ","Chưa"),IF(NOW()-D172&gt;=2,"Đủ","Chưa")))</f>
        <v/>
      </c>
      <c r="O172" s="8">
        <f>IF(L172="","",L172*0.05)</f>
        <v/>
      </c>
      <c r="P172" s="8">
        <f>IF(OR(L172="",C172=""),"",L172*0.95-C172)</f>
        <v/>
      </c>
      <c r="Q172" s="5" t="n"/>
    </row>
    <row r="173">
      <c r="A173" s="4">
        <f>IF(B173="","",ROW()-3)</f>
        <v/>
      </c>
      <c r="B173" s="5" t="n"/>
      <c r="C173" s="6" t="n"/>
      <c r="D173" s="7" t="n"/>
      <c r="E173" s="8">
        <f>IF(C173="","",C173*1.35)</f>
        <v/>
      </c>
      <c r="F173" s="9" t="n"/>
      <c r="G173" s="5" t="n"/>
      <c r="H173" s="6" t="n"/>
      <c r="I173" s="6" t="n"/>
      <c r="J173" s="8">
        <f>IF(OR(I173="",H173=""),"",MAX(0,I173-H173))</f>
        <v/>
      </c>
      <c r="K173" s="7" t="n"/>
      <c r="L173" s="6" t="n"/>
      <c r="M173" s="7" t="n"/>
      <c r="N173" s="4">
        <f>IF(D173="","",IF(M173&lt;&gt;"",IF(M173-D173&gt;=2,"Đủ","Chưa"),IF(NOW()-D173&gt;=2,"Đủ","Chưa")))</f>
        <v/>
      </c>
      <c r="O173" s="8">
        <f>IF(L173="","",L173*0.05)</f>
        <v/>
      </c>
      <c r="P173" s="8">
        <f>IF(OR(L173="",C173=""),"",L173*0.95-C173)</f>
        <v/>
      </c>
      <c r="Q173" s="5" t="n"/>
    </row>
    <row r="174">
      <c r="A174" s="4">
        <f>IF(B174="","",ROW()-3)</f>
        <v/>
      </c>
      <c r="B174" s="5" t="n"/>
      <c r="C174" s="6" t="n"/>
      <c r="D174" s="7" t="n"/>
      <c r="E174" s="8">
        <f>IF(C174="","",C174*1.35)</f>
        <v/>
      </c>
      <c r="F174" s="9" t="n"/>
      <c r="G174" s="5" t="n"/>
      <c r="H174" s="6" t="n"/>
      <c r="I174" s="6" t="n"/>
      <c r="J174" s="8">
        <f>IF(OR(I174="",H174=""),"",MAX(0,I174-H174))</f>
        <v/>
      </c>
      <c r="K174" s="7" t="n"/>
      <c r="L174" s="6" t="n"/>
      <c r="M174" s="7" t="n"/>
      <c r="N174" s="4">
        <f>IF(D174="","",IF(M174&lt;&gt;"",IF(M174-D174&gt;=2,"Đủ","Chưa"),IF(NOW()-D174&gt;=2,"Đủ","Chưa")))</f>
        <v/>
      </c>
      <c r="O174" s="8">
        <f>IF(L174="","",L174*0.05)</f>
        <v/>
      </c>
      <c r="P174" s="8">
        <f>IF(OR(L174="",C174=""),"",L174*0.95-C174)</f>
        <v/>
      </c>
      <c r="Q174" s="5" t="n"/>
    </row>
    <row r="175">
      <c r="A175" s="4">
        <f>IF(B175="","",ROW()-3)</f>
        <v/>
      </c>
      <c r="B175" s="5" t="n"/>
      <c r="C175" s="6" t="n"/>
      <c r="D175" s="7" t="n"/>
      <c r="E175" s="8">
        <f>IF(C175="","",C175*1.35)</f>
        <v/>
      </c>
      <c r="F175" s="9" t="n"/>
      <c r="G175" s="5" t="n"/>
      <c r="H175" s="6" t="n"/>
      <c r="I175" s="6" t="n"/>
      <c r="J175" s="8">
        <f>IF(OR(I175="",H175=""),"",MAX(0,I175-H175))</f>
        <v/>
      </c>
      <c r="K175" s="7" t="n"/>
      <c r="L175" s="6" t="n"/>
      <c r="M175" s="7" t="n"/>
      <c r="N175" s="4">
        <f>IF(D175="","",IF(M175&lt;&gt;"",IF(M175-D175&gt;=2,"Đủ","Chưa"),IF(NOW()-D175&gt;=2,"Đủ","Chưa")))</f>
        <v/>
      </c>
      <c r="O175" s="8">
        <f>IF(L175="","",L175*0.05)</f>
        <v/>
      </c>
      <c r="P175" s="8">
        <f>IF(OR(L175="",C175=""),"",L175*0.95-C175)</f>
        <v/>
      </c>
      <c r="Q175" s="5" t="n"/>
    </row>
    <row r="176">
      <c r="A176" s="4">
        <f>IF(B176="","",ROW()-3)</f>
        <v/>
      </c>
      <c r="B176" s="5" t="n"/>
      <c r="C176" s="6" t="n"/>
      <c r="D176" s="7" t="n"/>
      <c r="E176" s="8">
        <f>IF(C176="","",C176*1.35)</f>
        <v/>
      </c>
      <c r="F176" s="9" t="n"/>
      <c r="G176" s="5" t="n"/>
      <c r="H176" s="6" t="n"/>
      <c r="I176" s="6" t="n"/>
      <c r="J176" s="8">
        <f>IF(OR(I176="",H176=""),"",MAX(0,I176-H176))</f>
        <v/>
      </c>
      <c r="K176" s="7" t="n"/>
      <c r="L176" s="6" t="n"/>
      <c r="M176" s="7" t="n"/>
      <c r="N176" s="4">
        <f>IF(D176="","",IF(M176&lt;&gt;"",IF(M176-D176&gt;=2,"Đủ","Chưa"),IF(NOW()-D176&gt;=2,"Đủ","Chưa")))</f>
        <v/>
      </c>
      <c r="O176" s="8">
        <f>IF(L176="","",L176*0.05)</f>
        <v/>
      </c>
      <c r="P176" s="8">
        <f>IF(OR(L176="",C176=""),"",L176*0.95-C176)</f>
        <v/>
      </c>
      <c r="Q176" s="5" t="n"/>
    </row>
    <row r="177">
      <c r="A177" s="4">
        <f>IF(B177="","",ROW()-3)</f>
        <v/>
      </c>
      <c r="B177" s="5" t="n"/>
      <c r="C177" s="6" t="n"/>
      <c r="D177" s="7" t="n"/>
      <c r="E177" s="8">
        <f>IF(C177="","",C177*1.35)</f>
        <v/>
      </c>
      <c r="F177" s="9" t="n"/>
      <c r="G177" s="5" t="n"/>
      <c r="H177" s="6" t="n"/>
      <c r="I177" s="6" t="n"/>
      <c r="J177" s="8">
        <f>IF(OR(I177="",H177=""),"",MAX(0,I177-H177))</f>
        <v/>
      </c>
      <c r="K177" s="7" t="n"/>
      <c r="L177" s="6" t="n"/>
      <c r="M177" s="7" t="n"/>
      <c r="N177" s="4">
        <f>IF(D177="","",IF(M177&lt;&gt;"",IF(M177-D177&gt;=2,"Đủ","Chưa"),IF(NOW()-D177&gt;=2,"Đủ","Chưa")))</f>
        <v/>
      </c>
      <c r="O177" s="8">
        <f>IF(L177="","",L177*0.05)</f>
        <v/>
      </c>
      <c r="P177" s="8">
        <f>IF(OR(L177="",C177=""),"",L177*0.95-C177)</f>
        <v/>
      </c>
      <c r="Q177" s="5" t="n"/>
    </row>
    <row r="178">
      <c r="A178" s="4">
        <f>IF(B178="","",ROW()-3)</f>
        <v/>
      </c>
      <c r="B178" s="5" t="n"/>
      <c r="C178" s="6" t="n"/>
      <c r="D178" s="7" t="n"/>
      <c r="E178" s="8">
        <f>IF(C178="","",C178*1.35)</f>
        <v/>
      </c>
      <c r="F178" s="9" t="n"/>
      <c r="G178" s="5" t="n"/>
      <c r="H178" s="6" t="n"/>
      <c r="I178" s="6" t="n"/>
      <c r="J178" s="8">
        <f>IF(OR(I178="",H178=""),"",MAX(0,I178-H178))</f>
        <v/>
      </c>
      <c r="K178" s="7" t="n"/>
      <c r="L178" s="6" t="n"/>
      <c r="M178" s="7" t="n"/>
      <c r="N178" s="4">
        <f>IF(D178="","",IF(M178&lt;&gt;"",IF(M178-D178&gt;=2,"Đủ","Chưa"),IF(NOW()-D178&gt;=2,"Đủ","Chưa")))</f>
        <v/>
      </c>
      <c r="O178" s="8">
        <f>IF(L178="","",L178*0.05)</f>
        <v/>
      </c>
      <c r="P178" s="8">
        <f>IF(OR(L178="",C178=""),"",L178*0.95-C178)</f>
        <v/>
      </c>
      <c r="Q178" s="5" t="n"/>
    </row>
    <row r="179">
      <c r="A179" s="4">
        <f>IF(B179="","",ROW()-3)</f>
        <v/>
      </c>
      <c r="B179" s="5" t="n"/>
      <c r="C179" s="6" t="n"/>
      <c r="D179" s="7" t="n"/>
      <c r="E179" s="8">
        <f>IF(C179="","",C179*1.35)</f>
        <v/>
      </c>
      <c r="F179" s="9" t="n"/>
      <c r="G179" s="5" t="n"/>
      <c r="H179" s="6" t="n"/>
      <c r="I179" s="6" t="n"/>
      <c r="J179" s="8">
        <f>IF(OR(I179="",H179=""),"",MAX(0,I179-H179))</f>
        <v/>
      </c>
      <c r="K179" s="7" t="n"/>
      <c r="L179" s="6" t="n"/>
      <c r="M179" s="7" t="n"/>
      <c r="N179" s="4">
        <f>IF(D179="","",IF(M179&lt;&gt;"",IF(M179-D179&gt;=2,"Đủ","Chưa"),IF(NOW()-D179&gt;=2,"Đủ","Chưa")))</f>
        <v/>
      </c>
      <c r="O179" s="8">
        <f>IF(L179="","",L179*0.05)</f>
        <v/>
      </c>
      <c r="P179" s="8">
        <f>IF(OR(L179="",C179=""),"",L179*0.95-C179)</f>
        <v/>
      </c>
      <c r="Q179" s="5" t="n"/>
    </row>
    <row r="180">
      <c r="A180" s="4">
        <f>IF(B180="","",ROW()-3)</f>
        <v/>
      </c>
      <c r="B180" s="5" t="n"/>
      <c r="C180" s="6" t="n"/>
      <c r="D180" s="7" t="n"/>
      <c r="E180" s="8">
        <f>IF(C180="","",C180*1.35)</f>
        <v/>
      </c>
      <c r="F180" s="9" t="n"/>
      <c r="G180" s="5" t="n"/>
      <c r="H180" s="6" t="n"/>
      <c r="I180" s="6" t="n"/>
      <c r="J180" s="8">
        <f>IF(OR(I180="",H180=""),"",MAX(0,I180-H180))</f>
        <v/>
      </c>
      <c r="K180" s="7" t="n"/>
      <c r="L180" s="6" t="n"/>
      <c r="M180" s="7" t="n"/>
      <c r="N180" s="4">
        <f>IF(D180="","",IF(M180&lt;&gt;"",IF(M180-D180&gt;=2,"Đủ","Chưa"),IF(NOW()-D180&gt;=2,"Đủ","Chưa")))</f>
        <v/>
      </c>
      <c r="O180" s="8">
        <f>IF(L180="","",L180*0.05)</f>
        <v/>
      </c>
      <c r="P180" s="8">
        <f>IF(OR(L180="",C180=""),"",L180*0.95-C180)</f>
        <v/>
      </c>
      <c r="Q180" s="5" t="n"/>
    </row>
    <row r="181">
      <c r="A181" s="4">
        <f>IF(B181="","",ROW()-3)</f>
        <v/>
      </c>
      <c r="B181" s="5" t="n"/>
      <c r="C181" s="6" t="n"/>
      <c r="D181" s="7" t="n"/>
      <c r="E181" s="8">
        <f>IF(C181="","",C181*1.35)</f>
        <v/>
      </c>
      <c r="F181" s="9" t="n"/>
      <c r="G181" s="5" t="n"/>
      <c r="H181" s="6" t="n"/>
      <c r="I181" s="6" t="n"/>
      <c r="J181" s="8">
        <f>IF(OR(I181="",H181=""),"",MAX(0,I181-H181))</f>
        <v/>
      </c>
      <c r="K181" s="7" t="n"/>
      <c r="L181" s="6" t="n"/>
      <c r="M181" s="7" t="n"/>
      <c r="N181" s="4">
        <f>IF(D181="","",IF(M181&lt;&gt;"",IF(M181-D181&gt;=2,"Đủ","Chưa"),IF(NOW()-D181&gt;=2,"Đủ","Chưa")))</f>
        <v/>
      </c>
      <c r="O181" s="8">
        <f>IF(L181="","",L181*0.05)</f>
        <v/>
      </c>
      <c r="P181" s="8">
        <f>IF(OR(L181="",C181=""),"",L181*0.95-C181)</f>
        <v/>
      </c>
      <c r="Q181" s="5" t="n"/>
    </row>
    <row r="182">
      <c r="A182" s="4">
        <f>IF(B182="","",ROW()-3)</f>
        <v/>
      </c>
      <c r="B182" s="5" t="n"/>
      <c r="C182" s="6" t="n"/>
      <c r="D182" s="7" t="n"/>
      <c r="E182" s="8">
        <f>IF(C182="","",C182*1.35)</f>
        <v/>
      </c>
      <c r="F182" s="9" t="n"/>
      <c r="G182" s="5" t="n"/>
      <c r="H182" s="6" t="n"/>
      <c r="I182" s="6" t="n"/>
      <c r="J182" s="8">
        <f>IF(OR(I182="",H182=""),"",MAX(0,I182-H182))</f>
        <v/>
      </c>
      <c r="K182" s="7" t="n"/>
      <c r="L182" s="6" t="n"/>
      <c r="M182" s="7" t="n"/>
      <c r="N182" s="4">
        <f>IF(D182="","",IF(M182&lt;&gt;"",IF(M182-D182&gt;=2,"Đủ","Chưa"),IF(NOW()-D182&gt;=2,"Đủ","Chưa")))</f>
        <v/>
      </c>
      <c r="O182" s="8">
        <f>IF(L182="","",L182*0.05)</f>
        <v/>
      </c>
      <c r="P182" s="8">
        <f>IF(OR(L182="",C182=""),"",L182*0.95-C182)</f>
        <v/>
      </c>
      <c r="Q182" s="5" t="n"/>
    </row>
    <row r="183">
      <c r="A183" s="4">
        <f>IF(B183="","",ROW()-3)</f>
        <v/>
      </c>
      <c r="B183" s="5" t="n"/>
      <c r="C183" s="6" t="n"/>
      <c r="D183" s="7" t="n"/>
      <c r="E183" s="8">
        <f>IF(C183="","",C183*1.35)</f>
        <v/>
      </c>
      <c r="F183" s="9" t="n"/>
      <c r="G183" s="5" t="n"/>
      <c r="H183" s="6" t="n"/>
      <c r="I183" s="6" t="n"/>
      <c r="J183" s="8">
        <f>IF(OR(I183="",H183=""),"",MAX(0,I183-H183))</f>
        <v/>
      </c>
      <c r="K183" s="7" t="n"/>
      <c r="L183" s="6" t="n"/>
      <c r="M183" s="7" t="n"/>
      <c r="N183" s="4">
        <f>IF(D183="","",IF(M183&lt;&gt;"",IF(M183-D183&gt;=2,"Đủ","Chưa"),IF(NOW()-D183&gt;=2,"Đủ","Chưa")))</f>
        <v/>
      </c>
      <c r="O183" s="8">
        <f>IF(L183="","",L183*0.05)</f>
        <v/>
      </c>
      <c r="P183" s="8">
        <f>IF(OR(L183="",C183=""),"",L183*0.95-C183)</f>
        <v/>
      </c>
      <c r="Q183" s="5" t="n"/>
    </row>
    <row r="184">
      <c r="A184" s="4">
        <f>IF(B184="","",ROW()-3)</f>
        <v/>
      </c>
      <c r="B184" s="5" t="n"/>
      <c r="C184" s="6" t="n"/>
      <c r="D184" s="7" t="n"/>
      <c r="E184" s="8">
        <f>IF(C184="","",C184*1.35)</f>
        <v/>
      </c>
      <c r="F184" s="9" t="n"/>
      <c r="G184" s="5" t="n"/>
      <c r="H184" s="6" t="n"/>
      <c r="I184" s="6" t="n"/>
      <c r="J184" s="8">
        <f>IF(OR(I184="",H184=""),"",MAX(0,I184-H184))</f>
        <v/>
      </c>
      <c r="K184" s="7" t="n"/>
      <c r="L184" s="6" t="n"/>
      <c r="M184" s="7" t="n"/>
      <c r="N184" s="4">
        <f>IF(D184="","",IF(M184&lt;&gt;"",IF(M184-D184&gt;=2,"Đủ","Chưa"),IF(NOW()-D184&gt;=2,"Đủ","Chưa")))</f>
        <v/>
      </c>
      <c r="O184" s="8">
        <f>IF(L184="","",L184*0.05)</f>
        <v/>
      </c>
      <c r="P184" s="8">
        <f>IF(OR(L184="",C184=""),"",L184*0.95-C184)</f>
        <v/>
      </c>
      <c r="Q184" s="5" t="n"/>
    </row>
    <row r="185">
      <c r="A185" s="4">
        <f>IF(B185="","",ROW()-3)</f>
        <v/>
      </c>
      <c r="B185" s="5" t="n"/>
      <c r="C185" s="6" t="n"/>
      <c r="D185" s="7" t="n"/>
      <c r="E185" s="8">
        <f>IF(C185="","",C185*1.35)</f>
        <v/>
      </c>
      <c r="F185" s="9" t="n"/>
      <c r="G185" s="5" t="n"/>
      <c r="H185" s="6" t="n"/>
      <c r="I185" s="6" t="n"/>
      <c r="J185" s="8">
        <f>IF(OR(I185="",H185=""),"",MAX(0,I185-H185))</f>
        <v/>
      </c>
      <c r="K185" s="7" t="n"/>
      <c r="L185" s="6" t="n"/>
      <c r="M185" s="7" t="n"/>
      <c r="N185" s="4">
        <f>IF(D185="","",IF(M185&lt;&gt;"",IF(M185-D185&gt;=2,"Đủ","Chưa"),IF(NOW()-D185&gt;=2,"Đủ","Chưa")))</f>
        <v/>
      </c>
      <c r="O185" s="8">
        <f>IF(L185="","",L185*0.05)</f>
        <v/>
      </c>
      <c r="P185" s="8">
        <f>IF(OR(L185="",C185=""),"",L185*0.95-C185)</f>
        <v/>
      </c>
      <c r="Q185" s="5" t="n"/>
    </row>
    <row r="186">
      <c r="A186" s="4">
        <f>IF(B186="","",ROW()-3)</f>
        <v/>
      </c>
      <c r="B186" s="5" t="n"/>
      <c r="C186" s="6" t="n"/>
      <c r="D186" s="7" t="n"/>
      <c r="E186" s="8">
        <f>IF(C186="","",C186*1.35)</f>
        <v/>
      </c>
      <c r="F186" s="9" t="n"/>
      <c r="G186" s="5" t="n"/>
      <c r="H186" s="6" t="n"/>
      <c r="I186" s="6" t="n"/>
      <c r="J186" s="8">
        <f>IF(OR(I186="",H186=""),"",MAX(0,I186-H186))</f>
        <v/>
      </c>
      <c r="K186" s="7" t="n"/>
      <c r="L186" s="6" t="n"/>
      <c r="M186" s="7" t="n"/>
      <c r="N186" s="4">
        <f>IF(D186="","",IF(M186&lt;&gt;"",IF(M186-D186&gt;=2,"Đủ","Chưa"),IF(NOW()-D186&gt;=2,"Đủ","Chưa")))</f>
        <v/>
      </c>
      <c r="O186" s="8">
        <f>IF(L186="","",L186*0.05)</f>
        <v/>
      </c>
      <c r="P186" s="8">
        <f>IF(OR(L186="",C186=""),"",L186*0.95-C186)</f>
        <v/>
      </c>
      <c r="Q186" s="5" t="n"/>
    </row>
    <row r="187">
      <c r="A187" s="4">
        <f>IF(B187="","",ROW()-3)</f>
        <v/>
      </c>
      <c r="B187" s="5" t="n"/>
      <c r="C187" s="6" t="n"/>
      <c r="D187" s="7" t="n"/>
      <c r="E187" s="8">
        <f>IF(C187="","",C187*1.35)</f>
        <v/>
      </c>
      <c r="F187" s="9" t="n"/>
      <c r="G187" s="5" t="n"/>
      <c r="H187" s="6" t="n"/>
      <c r="I187" s="6" t="n"/>
      <c r="J187" s="8">
        <f>IF(OR(I187="",H187=""),"",MAX(0,I187-H187))</f>
        <v/>
      </c>
      <c r="K187" s="7" t="n"/>
      <c r="L187" s="6" t="n"/>
      <c r="M187" s="7" t="n"/>
      <c r="N187" s="4">
        <f>IF(D187="","",IF(M187&lt;&gt;"",IF(M187-D187&gt;=2,"Đủ","Chưa"),IF(NOW()-D187&gt;=2,"Đủ","Chưa")))</f>
        <v/>
      </c>
      <c r="O187" s="8">
        <f>IF(L187="","",L187*0.05)</f>
        <v/>
      </c>
      <c r="P187" s="8">
        <f>IF(OR(L187="",C187=""),"",L187*0.95-C187)</f>
        <v/>
      </c>
      <c r="Q187" s="5" t="n"/>
    </row>
    <row r="188">
      <c r="A188" s="4">
        <f>IF(B188="","",ROW()-3)</f>
        <v/>
      </c>
      <c r="B188" s="5" t="n"/>
      <c r="C188" s="6" t="n"/>
      <c r="D188" s="7" t="n"/>
      <c r="E188" s="8">
        <f>IF(C188="","",C188*1.35)</f>
        <v/>
      </c>
      <c r="F188" s="9" t="n"/>
      <c r="G188" s="5" t="n"/>
      <c r="H188" s="6" t="n"/>
      <c r="I188" s="6" t="n"/>
      <c r="J188" s="8">
        <f>IF(OR(I188="",H188=""),"",MAX(0,I188-H188))</f>
        <v/>
      </c>
      <c r="K188" s="7" t="n"/>
      <c r="L188" s="6" t="n"/>
      <c r="M188" s="7" t="n"/>
      <c r="N188" s="4">
        <f>IF(D188="","",IF(M188&lt;&gt;"",IF(M188-D188&gt;=2,"Đủ","Chưa"),IF(NOW()-D188&gt;=2,"Đủ","Chưa")))</f>
        <v/>
      </c>
      <c r="O188" s="8">
        <f>IF(L188="","",L188*0.05)</f>
        <v/>
      </c>
      <c r="P188" s="8">
        <f>IF(OR(L188="",C188=""),"",L188*0.95-C188)</f>
        <v/>
      </c>
      <c r="Q188" s="5" t="n"/>
    </row>
    <row r="189">
      <c r="A189" s="4">
        <f>IF(B189="","",ROW()-3)</f>
        <v/>
      </c>
      <c r="B189" s="5" t="n"/>
      <c r="C189" s="6" t="n"/>
      <c r="D189" s="7" t="n"/>
      <c r="E189" s="8">
        <f>IF(C189="","",C189*1.35)</f>
        <v/>
      </c>
      <c r="F189" s="9" t="n"/>
      <c r="G189" s="5" t="n"/>
      <c r="H189" s="6" t="n"/>
      <c r="I189" s="6" t="n"/>
      <c r="J189" s="8">
        <f>IF(OR(I189="",H189=""),"",MAX(0,I189-H189))</f>
        <v/>
      </c>
      <c r="K189" s="7" t="n"/>
      <c r="L189" s="6" t="n"/>
      <c r="M189" s="7" t="n"/>
      <c r="N189" s="4">
        <f>IF(D189="","",IF(M189&lt;&gt;"",IF(M189-D189&gt;=2,"Đủ","Chưa"),IF(NOW()-D189&gt;=2,"Đủ","Chưa")))</f>
        <v/>
      </c>
      <c r="O189" s="8">
        <f>IF(L189="","",L189*0.05)</f>
        <v/>
      </c>
      <c r="P189" s="8">
        <f>IF(OR(L189="",C189=""),"",L189*0.95-C189)</f>
        <v/>
      </c>
      <c r="Q189" s="5" t="n"/>
    </row>
    <row r="190">
      <c r="A190" s="4">
        <f>IF(B190="","",ROW()-3)</f>
        <v/>
      </c>
      <c r="B190" s="5" t="n"/>
      <c r="C190" s="6" t="n"/>
      <c r="D190" s="7" t="n"/>
      <c r="E190" s="8">
        <f>IF(C190="","",C190*1.35)</f>
        <v/>
      </c>
      <c r="F190" s="9" t="n"/>
      <c r="G190" s="5" t="n"/>
      <c r="H190" s="6" t="n"/>
      <c r="I190" s="6" t="n"/>
      <c r="J190" s="8">
        <f>IF(OR(I190="",H190=""),"",MAX(0,I190-H190))</f>
        <v/>
      </c>
      <c r="K190" s="7" t="n"/>
      <c r="L190" s="6" t="n"/>
      <c r="M190" s="7" t="n"/>
      <c r="N190" s="4">
        <f>IF(D190="","",IF(M190&lt;&gt;"",IF(M190-D190&gt;=2,"Đủ","Chưa"),IF(NOW()-D190&gt;=2,"Đủ","Chưa")))</f>
        <v/>
      </c>
      <c r="O190" s="8">
        <f>IF(L190="","",L190*0.05)</f>
        <v/>
      </c>
      <c r="P190" s="8">
        <f>IF(OR(L190="",C190=""),"",L190*0.95-C190)</f>
        <v/>
      </c>
      <c r="Q190" s="5" t="n"/>
    </row>
    <row r="191">
      <c r="A191" s="4">
        <f>IF(B191="","",ROW()-3)</f>
        <v/>
      </c>
      <c r="B191" s="5" t="n"/>
      <c r="C191" s="6" t="n"/>
      <c r="D191" s="7" t="n"/>
      <c r="E191" s="8">
        <f>IF(C191="","",C191*1.35)</f>
        <v/>
      </c>
      <c r="F191" s="9" t="n"/>
      <c r="G191" s="5" t="n"/>
      <c r="H191" s="6" t="n"/>
      <c r="I191" s="6" t="n"/>
      <c r="J191" s="8">
        <f>IF(OR(I191="",H191=""),"",MAX(0,I191-H191))</f>
        <v/>
      </c>
      <c r="K191" s="7" t="n"/>
      <c r="L191" s="6" t="n"/>
      <c r="M191" s="7" t="n"/>
      <c r="N191" s="4">
        <f>IF(D191="","",IF(M191&lt;&gt;"",IF(M191-D191&gt;=2,"Đủ","Chưa"),IF(NOW()-D191&gt;=2,"Đủ","Chưa")))</f>
        <v/>
      </c>
      <c r="O191" s="8">
        <f>IF(L191="","",L191*0.05)</f>
        <v/>
      </c>
      <c r="P191" s="8">
        <f>IF(OR(L191="",C191=""),"",L191*0.95-C191)</f>
        <v/>
      </c>
      <c r="Q191" s="5" t="n"/>
    </row>
    <row r="192">
      <c r="A192" s="4">
        <f>IF(B192="","",ROW()-3)</f>
        <v/>
      </c>
      <c r="B192" s="5" t="n"/>
      <c r="C192" s="6" t="n"/>
      <c r="D192" s="7" t="n"/>
      <c r="E192" s="8">
        <f>IF(C192="","",C192*1.35)</f>
        <v/>
      </c>
      <c r="F192" s="9" t="n"/>
      <c r="G192" s="5" t="n"/>
      <c r="H192" s="6" t="n"/>
      <c r="I192" s="6" t="n"/>
      <c r="J192" s="8">
        <f>IF(OR(I192="",H192=""),"",MAX(0,I192-H192))</f>
        <v/>
      </c>
      <c r="K192" s="7" t="n"/>
      <c r="L192" s="6" t="n"/>
      <c r="M192" s="7" t="n"/>
      <c r="N192" s="4">
        <f>IF(D192="","",IF(M192&lt;&gt;"",IF(M192-D192&gt;=2,"Đủ","Chưa"),IF(NOW()-D192&gt;=2,"Đủ","Chưa")))</f>
        <v/>
      </c>
      <c r="O192" s="8">
        <f>IF(L192="","",L192*0.05)</f>
        <v/>
      </c>
      <c r="P192" s="8">
        <f>IF(OR(L192="",C192=""),"",L192*0.95-C192)</f>
        <v/>
      </c>
      <c r="Q192" s="5" t="n"/>
    </row>
    <row r="193">
      <c r="A193" s="4">
        <f>IF(B193="","",ROW()-3)</f>
        <v/>
      </c>
      <c r="B193" s="5" t="n"/>
      <c r="C193" s="6" t="n"/>
      <c r="D193" s="7" t="n"/>
      <c r="E193" s="8">
        <f>IF(C193="","",C193*1.35)</f>
        <v/>
      </c>
      <c r="F193" s="9" t="n"/>
      <c r="G193" s="5" t="n"/>
      <c r="H193" s="6" t="n"/>
      <c r="I193" s="6" t="n"/>
      <c r="J193" s="8">
        <f>IF(OR(I193="",H193=""),"",MAX(0,I193-H193))</f>
        <v/>
      </c>
      <c r="K193" s="7" t="n"/>
      <c r="L193" s="6" t="n"/>
      <c r="M193" s="7" t="n"/>
      <c r="N193" s="4">
        <f>IF(D193="","",IF(M193&lt;&gt;"",IF(M193-D193&gt;=2,"Đủ","Chưa"),IF(NOW()-D193&gt;=2,"Đủ","Chưa")))</f>
        <v/>
      </c>
      <c r="O193" s="8">
        <f>IF(L193="","",L193*0.05)</f>
        <v/>
      </c>
      <c r="P193" s="8">
        <f>IF(OR(L193="",C193=""),"",L193*0.95-C193)</f>
        <v/>
      </c>
      <c r="Q193" s="5" t="n"/>
    </row>
    <row r="194">
      <c r="A194" s="4">
        <f>IF(B194="","",ROW()-3)</f>
        <v/>
      </c>
      <c r="B194" s="5" t="n"/>
      <c r="C194" s="6" t="n"/>
      <c r="D194" s="7" t="n"/>
      <c r="E194" s="8">
        <f>IF(C194="","",C194*1.35)</f>
        <v/>
      </c>
      <c r="F194" s="9" t="n"/>
      <c r="G194" s="5" t="n"/>
      <c r="H194" s="6" t="n"/>
      <c r="I194" s="6" t="n"/>
      <c r="J194" s="8">
        <f>IF(OR(I194="",H194=""),"",MAX(0,I194-H194))</f>
        <v/>
      </c>
      <c r="K194" s="7" t="n"/>
      <c r="L194" s="6" t="n"/>
      <c r="M194" s="7" t="n"/>
      <c r="N194" s="4">
        <f>IF(D194="","",IF(M194&lt;&gt;"",IF(M194-D194&gt;=2,"Đủ","Chưa"),IF(NOW()-D194&gt;=2,"Đủ","Chưa")))</f>
        <v/>
      </c>
      <c r="O194" s="8">
        <f>IF(L194="","",L194*0.05)</f>
        <v/>
      </c>
      <c r="P194" s="8">
        <f>IF(OR(L194="",C194=""),"",L194*0.95-C194)</f>
        <v/>
      </c>
      <c r="Q194" s="5" t="n"/>
    </row>
    <row r="195">
      <c r="A195" s="4">
        <f>IF(B195="","",ROW()-3)</f>
        <v/>
      </c>
      <c r="B195" s="5" t="n"/>
      <c r="C195" s="6" t="n"/>
      <c r="D195" s="7" t="n"/>
      <c r="E195" s="8">
        <f>IF(C195="","",C195*1.35)</f>
        <v/>
      </c>
      <c r="F195" s="9" t="n"/>
      <c r="G195" s="5" t="n"/>
      <c r="H195" s="6" t="n"/>
      <c r="I195" s="6" t="n"/>
      <c r="J195" s="8">
        <f>IF(OR(I195="",H195=""),"",MAX(0,I195-H195))</f>
        <v/>
      </c>
      <c r="K195" s="7" t="n"/>
      <c r="L195" s="6" t="n"/>
      <c r="M195" s="7" t="n"/>
      <c r="N195" s="4">
        <f>IF(D195="","",IF(M195&lt;&gt;"",IF(M195-D195&gt;=2,"Đủ","Chưa"),IF(NOW()-D195&gt;=2,"Đủ","Chưa")))</f>
        <v/>
      </c>
      <c r="O195" s="8">
        <f>IF(L195="","",L195*0.05)</f>
        <v/>
      </c>
      <c r="P195" s="8">
        <f>IF(OR(L195="",C195=""),"",L195*0.95-C195)</f>
        <v/>
      </c>
      <c r="Q195" s="5" t="n"/>
    </row>
    <row r="196">
      <c r="A196" s="4">
        <f>IF(B196="","",ROW()-3)</f>
        <v/>
      </c>
      <c r="B196" s="5" t="n"/>
      <c r="C196" s="6" t="n"/>
      <c r="D196" s="7" t="n"/>
      <c r="E196" s="8">
        <f>IF(C196="","",C196*1.35)</f>
        <v/>
      </c>
      <c r="F196" s="9" t="n"/>
      <c r="G196" s="5" t="n"/>
      <c r="H196" s="6" t="n"/>
      <c r="I196" s="6" t="n"/>
      <c r="J196" s="8">
        <f>IF(OR(I196="",H196=""),"",MAX(0,I196-H196))</f>
        <v/>
      </c>
      <c r="K196" s="7" t="n"/>
      <c r="L196" s="6" t="n"/>
      <c r="M196" s="7" t="n"/>
      <c r="N196" s="4">
        <f>IF(D196="","",IF(M196&lt;&gt;"",IF(M196-D196&gt;=2,"Đủ","Chưa"),IF(NOW()-D196&gt;=2,"Đủ","Chưa")))</f>
        <v/>
      </c>
      <c r="O196" s="8">
        <f>IF(L196="","",L196*0.05)</f>
        <v/>
      </c>
      <c r="P196" s="8">
        <f>IF(OR(L196="",C196=""),"",L196*0.95-C196)</f>
        <v/>
      </c>
      <c r="Q196" s="5" t="n"/>
    </row>
    <row r="197">
      <c r="A197" s="4">
        <f>IF(B197="","",ROW()-3)</f>
        <v/>
      </c>
      <c r="B197" s="5" t="n"/>
      <c r="C197" s="6" t="n"/>
      <c r="D197" s="7" t="n"/>
      <c r="E197" s="8">
        <f>IF(C197="","",C197*1.35)</f>
        <v/>
      </c>
      <c r="F197" s="9" t="n"/>
      <c r="G197" s="5" t="n"/>
      <c r="H197" s="6" t="n"/>
      <c r="I197" s="6" t="n"/>
      <c r="J197" s="8">
        <f>IF(OR(I197="",H197=""),"",MAX(0,I197-H197))</f>
        <v/>
      </c>
      <c r="K197" s="7" t="n"/>
      <c r="L197" s="6" t="n"/>
      <c r="M197" s="7" t="n"/>
      <c r="N197" s="4">
        <f>IF(D197="","",IF(M197&lt;&gt;"",IF(M197-D197&gt;=2,"Đủ","Chưa"),IF(NOW()-D197&gt;=2,"Đủ","Chưa")))</f>
        <v/>
      </c>
      <c r="O197" s="8">
        <f>IF(L197="","",L197*0.05)</f>
        <v/>
      </c>
      <c r="P197" s="8">
        <f>IF(OR(L197="",C197=""),"",L197*0.95-C197)</f>
        <v/>
      </c>
      <c r="Q197" s="5" t="n"/>
    </row>
    <row r="198">
      <c r="A198" s="4">
        <f>IF(B198="","",ROW()-3)</f>
        <v/>
      </c>
      <c r="B198" s="5" t="n"/>
      <c r="C198" s="6" t="n"/>
      <c r="D198" s="7" t="n"/>
      <c r="E198" s="8">
        <f>IF(C198="","",C198*1.35)</f>
        <v/>
      </c>
      <c r="F198" s="9" t="n"/>
      <c r="G198" s="5" t="n"/>
      <c r="H198" s="6" t="n"/>
      <c r="I198" s="6" t="n"/>
      <c r="J198" s="8">
        <f>IF(OR(I198="",H198=""),"",MAX(0,I198-H198))</f>
        <v/>
      </c>
      <c r="K198" s="7" t="n"/>
      <c r="L198" s="6" t="n"/>
      <c r="M198" s="7" t="n"/>
      <c r="N198" s="4">
        <f>IF(D198="","",IF(M198&lt;&gt;"",IF(M198-D198&gt;=2,"Đủ","Chưa"),IF(NOW()-D198&gt;=2,"Đủ","Chưa")))</f>
        <v/>
      </c>
      <c r="O198" s="8">
        <f>IF(L198="","",L198*0.05)</f>
        <v/>
      </c>
      <c r="P198" s="8">
        <f>IF(OR(L198="",C198=""),"",L198*0.95-C198)</f>
        <v/>
      </c>
      <c r="Q198" s="5" t="n"/>
    </row>
    <row r="199">
      <c r="A199" s="4">
        <f>IF(B199="","",ROW()-3)</f>
        <v/>
      </c>
      <c r="B199" s="5" t="n"/>
      <c r="C199" s="6" t="n"/>
      <c r="D199" s="7" t="n"/>
      <c r="E199" s="8">
        <f>IF(C199="","",C199*1.35)</f>
        <v/>
      </c>
      <c r="F199" s="9" t="n"/>
      <c r="G199" s="5" t="n"/>
      <c r="H199" s="6" t="n"/>
      <c r="I199" s="6" t="n"/>
      <c r="J199" s="8">
        <f>IF(OR(I199="",H199=""),"",MAX(0,I199-H199))</f>
        <v/>
      </c>
      <c r="K199" s="7" t="n"/>
      <c r="L199" s="6" t="n"/>
      <c r="M199" s="7" t="n"/>
      <c r="N199" s="4">
        <f>IF(D199="","",IF(M199&lt;&gt;"",IF(M199-D199&gt;=2,"Đủ","Chưa"),IF(NOW()-D199&gt;=2,"Đủ","Chưa")))</f>
        <v/>
      </c>
      <c r="O199" s="8">
        <f>IF(L199="","",L199*0.05)</f>
        <v/>
      </c>
      <c r="P199" s="8">
        <f>IF(OR(L199="",C199=""),"",L199*0.95-C199)</f>
        <v/>
      </c>
      <c r="Q199" s="5" t="n"/>
    </row>
    <row r="200">
      <c r="A200" s="4">
        <f>IF(B200="","",ROW()-3)</f>
        <v/>
      </c>
      <c r="B200" s="5" t="n"/>
      <c r="C200" s="6" t="n"/>
      <c r="D200" s="7" t="n"/>
      <c r="E200" s="8">
        <f>IF(C200="","",C200*1.35)</f>
        <v/>
      </c>
      <c r="F200" s="9" t="n"/>
      <c r="G200" s="5" t="n"/>
      <c r="H200" s="6" t="n"/>
      <c r="I200" s="6" t="n"/>
      <c r="J200" s="8">
        <f>IF(OR(I200="",H200=""),"",MAX(0,I200-H200))</f>
        <v/>
      </c>
      <c r="K200" s="7" t="n"/>
      <c r="L200" s="6" t="n"/>
      <c r="M200" s="7" t="n"/>
      <c r="N200" s="4">
        <f>IF(D200="","",IF(M200&lt;&gt;"",IF(M200-D200&gt;=2,"Đủ","Chưa"),IF(NOW()-D200&gt;=2,"Đủ","Chưa")))</f>
        <v/>
      </c>
      <c r="O200" s="8">
        <f>IF(L200="","",L200*0.05)</f>
        <v/>
      </c>
      <c r="P200" s="8">
        <f>IF(OR(L200="",C200=""),"",L200*0.95-C200)</f>
        <v/>
      </c>
      <c r="Q200" s="5" t="n"/>
    </row>
    <row r="201">
      <c r="A201" s="4">
        <f>IF(B201="","",ROW()-3)</f>
        <v/>
      </c>
      <c r="B201" s="5" t="n"/>
      <c r="C201" s="6" t="n"/>
      <c r="D201" s="7" t="n"/>
      <c r="E201" s="8">
        <f>IF(C201="","",C201*1.35)</f>
        <v/>
      </c>
      <c r="F201" s="9" t="n"/>
      <c r="G201" s="5" t="n"/>
      <c r="H201" s="6" t="n"/>
      <c r="I201" s="6" t="n"/>
      <c r="J201" s="8">
        <f>IF(OR(I201="",H201=""),"",MAX(0,I201-H201))</f>
        <v/>
      </c>
      <c r="K201" s="7" t="n"/>
      <c r="L201" s="6" t="n"/>
      <c r="M201" s="7" t="n"/>
      <c r="N201" s="4">
        <f>IF(D201="","",IF(M201&lt;&gt;"",IF(M201-D201&gt;=2,"Đủ","Chưa"),IF(NOW()-D201&gt;=2,"Đủ","Chưa")))</f>
        <v/>
      </c>
      <c r="O201" s="8">
        <f>IF(L201="","",L201*0.05)</f>
        <v/>
      </c>
      <c r="P201" s="8">
        <f>IF(OR(L201="",C201=""),"",L201*0.95-C201)</f>
        <v/>
      </c>
      <c r="Q201" s="5" t="n"/>
    </row>
    <row r="202">
      <c r="A202" s="4">
        <f>IF(B202="","",ROW()-3)</f>
        <v/>
      </c>
      <c r="B202" s="5" t="n"/>
      <c r="C202" s="6" t="n"/>
      <c r="D202" s="7" t="n"/>
      <c r="E202" s="8">
        <f>IF(C202="","",C202*1.35)</f>
        <v/>
      </c>
      <c r="F202" s="9" t="n"/>
      <c r="G202" s="5" t="n"/>
      <c r="H202" s="6" t="n"/>
      <c r="I202" s="6" t="n"/>
      <c r="J202" s="8">
        <f>IF(OR(I202="",H202=""),"",MAX(0,I202-H202))</f>
        <v/>
      </c>
      <c r="K202" s="7" t="n"/>
      <c r="L202" s="6" t="n"/>
      <c r="M202" s="7" t="n"/>
      <c r="N202" s="4">
        <f>IF(D202="","",IF(M202&lt;&gt;"",IF(M202-D202&gt;=2,"Đủ","Chưa"),IF(NOW()-D202&gt;=2,"Đủ","Chưa")))</f>
        <v/>
      </c>
      <c r="O202" s="8">
        <f>IF(L202="","",L202*0.05)</f>
        <v/>
      </c>
      <c r="P202" s="8">
        <f>IF(OR(L202="",C202=""),"",L202*0.95-C202)</f>
        <v/>
      </c>
      <c r="Q202" s="5" t="n"/>
    </row>
    <row r="203">
      <c r="A203" s="4">
        <f>IF(B203="","",ROW()-3)</f>
        <v/>
      </c>
      <c r="B203" s="5" t="n"/>
      <c r="C203" s="6" t="n"/>
      <c r="D203" s="7" t="n"/>
      <c r="E203" s="8">
        <f>IF(C203="","",C203*1.35)</f>
        <v/>
      </c>
      <c r="F203" s="9" t="n"/>
      <c r="G203" s="5" t="n"/>
      <c r="H203" s="6" t="n"/>
      <c r="I203" s="6" t="n"/>
      <c r="J203" s="8">
        <f>IF(OR(I203="",H203=""),"",MAX(0,I203-H203))</f>
        <v/>
      </c>
      <c r="K203" s="7" t="n"/>
      <c r="L203" s="6" t="n"/>
      <c r="M203" s="7" t="n"/>
      <c r="N203" s="4">
        <f>IF(D203="","",IF(M203&lt;&gt;"",IF(M203-D203&gt;=2,"Đủ","Chưa"),IF(NOW()-D203&gt;=2,"Đủ","Chưa")))</f>
        <v/>
      </c>
      <c r="O203" s="8">
        <f>IF(L203="","",L203*0.05)</f>
        <v/>
      </c>
      <c r="P203" s="8">
        <f>IF(OR(L203="",C203=""),"",L203*0.95-C203)</f>
        <v/>
      </c>
      <c r="Q203" s="5" t="n"/>
    </row>
  </sheetData>
  <autoFilter ref="A3:Q203"/>
  <mergeCells count="2">
    <mergeCell ref="A2:Q2"/>
    <mergeCell ref="A1:Q1"/>
  </mergeCells>
  <conditionalFormatting sqref="A4:Q203">
    <cfRule type="expression" priority="1" dxfId="0" stopIfTrue="0">
      <formula>$F4="Đã bán"</formula>
    </cfRule>
    <cfRule type="expression" priority="2" dxfId="1" stopIfTrue="0">
      <formula>$F4="Đã đặt cọc"</formula>
    </cfRule>
  </conditionalFormatting>
  <dataValidations count="1">
    <dataValidation sqref="F4:F203" showDropDown="0" showInputMessage="0" showErrorMessage="1" allowBlank="1" errorTitle="Trạng thái không hợp lệ" error="Chọn: Còn hàng / Đã đặt cọc / Đã bán" type="list">
      <formula1>"Còn hàng,Đã đặt cọc,Đã bán"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6" customHeight="1">
      <c r="A1" s="1" t="inlineStr">
        <is>
          <t>TỔNG HỢP TOÀN BỘ</t>
        </is>
      </c>
    </row>
    <row r="3">
      <c r="A3" s="10" t="inlineStr">
        <is>
          <t>Tổng số xe đã nhập</t>
        </is>
      </c>
      <c r="B3" s="11">
        <f>COUNTA('Kho Xe'!B4:B203)</f>
        <v/>
      </c>
    </row>
    <row r="4">
      <c r="A4" s="10" t="inlineStr">
        <is>
          <t>Xe còn hàng</t>
        </is>
      </c>
      <c r="B4" s="11">
        <f>COUNTIF('Kho Xe'!F4:F203,"Còn hàng")</f>
        <v/>
      </c>
    </row>
    <row r="5">
      <c r="A5" s="10" t="inlineStr">
        <is>
          <t>Xe đã đặt cọc</t>
        </is>
      </c>
      <c r="B5" s="11">
        <f>COUNTIF('Kho Xe'!F4:F203,"Đã đặt cọc")</f>
        <v/>
      </c>
    </row>
    <row r="6">
      <c r="A6" s="10" t="inlineStr">
        <is>
          <t>Xe đã bán</t>
        </is>
      </c>
      <c r="B6" s="11">
        <f>COUNTIF('Kho Xe'!F4:F203,"Đã bán")</f>
        <v/>
      </c>
    </row>
    <row r="8">
      <c r="A8" s="10" t="inlineStr">
        <is>
          <t>Tổng tiền đã bỏ ra (vốn nhập)</t>
        </is>
      </c>
      <c r="B8" s="8">
        <f>SUM('Kho Xe'!C4:C203)</f>
        <v/>
      </c>
    </row>
    <row r="9">
      <c r="A9" s="10" t="inlineStr">
        <is>
          <t>Vốn đang nằm trong kho</t>
        </is>
      </c>
      <c r="B9" s="8">
        <f>SUMIF('Kho Xe'!F4:F203,"&lt;&gt;Đã bán",'Kho Xe'!C4:C203)</f>
        <v/>
      </c>
    </row>
    <row r="10">
      <c r="A10" s="10" t="inlineStr">
        <is>
          <t>Tổng tiền cọc đang giữ</t>
        </is>
      </c>
      <c r="B10" s="8">
        <f>SUMIF('Kho Xe'!F4:F203,"Đã đặt cọc",'Kho Xe'!H4:H203)</f>
        <v/>
      </c>
    </row>
    <row r="11">
      <c r="A11" s="10" t="inlineStr">
        <is>
          <t>Còn phải thu (xe đã cọc)</t>
        </is>
      </c>
      <c r="B11" s="8">
        <f>SUMIF('Kho Xe'!F4:F203,"Đã đặt cọc",'Kho Xe'!J4:J203)</f>
        <v/>
      </c>
    </row>
    <row r="13">
      <c r="A13" s="10" t="inlineStr">
        <is>
          <t>Tổng doanh thu bán xe</t>
        </is>
      </c>
      <c r="B13" s="8">
        <f>SUM('Kho Xe'!L4:L203)</f>
        <v/>
      </c>
    </row>
    <row r="14">
      <c r="A14" s="10" t="inlineStr">
        <is>
          <t>Tổng thuế 5% đã trả</t>
        </is>
      </c>
      <c r="B14" s="8">
        <f>SUM('Kho Xe'!O4:O203)</f>
        <v/>
      </c>
    </row>
    <row r="15">
      <c r="A15" s="12" t="inlineStr">
        <is>
          <t>TỔNG LÃI THỰC</t>
        </is>
      </c>
      <c r="B15" s="13">
        <f>SUM('Kho Xe'!P4:P203)</f>
        <v/>
      </c>
    </row>
    <row r="18">
      <c r="A18" s="14" t="inlineStr">
        <is>
          <t>THỐNG KÊ THEO THÁNG</t>
        </is>
      </c>
    </row>
    <row r="19">
      <c r="A19" s="15" t="inlineStr">
        <is>
          <t>Tháng</t>
        </is>
      </c>
      <c r="B19" s="15" t="inlineStr">
        <is>
          <t>Xe nhập</t>
        </is>
      </c>
      <c r="C19" s="15" t="inlineStr">
        <is>
          <t>Vốn nhập</t>
        </is>
      </c>
      <c r="D19" s="15" t="inlineStr">
        <is>
          <t>Xe bán</t>
        </is>
      </c>
      <c r="E19" s="15" t="inlineStr">
        <is>
          <t>Lãi thực</t>
        </is>
      </c>
    </row>
    <row r="20">
      <c r="A20" s="16">
        <f>DATE(2026,1,1)</f>
        <v/>
      </c>
      <c r="B20" s="4">
        <f>COUNTIFS('Kho Xe'!D4:D203,"&gt;="&amp;$A20,'Kho Xe'!D4:D203,"&lt;="&amp;EOMONTH($A20,0))</f>
        <v/>
      </c>
      <c r="C20" s="8">
        <f>SUMIFS('Kho Xe'!C4:C203,'Kho Xe'!D4:D203,"&gt;="&amp;$A20,'Kho Xe'!D4:D203,"&lt;="&amp;EOMONTH($A20,0))</f>
        <v/>
      </c>
      <c r="D20" s="4">
        <f>COUNTIFS('Kho Xe'!M4:M203,"&gt;="&amp;$A20,'Kho Xe'!M4:M203,"&lt;="&amp;EOMONTH($A20,0))</f>
        <v/>
      </c>
      <c r="E20" s="8">
        <f>SUMIFS('Kho Xe'!P4:P203,'Kho Xe'!M4:M203,"&gt;="&amp;$A20,'Kho Xe'!M4:M203,"&lt;="&amp;EOMONTH($A20,0))</f>
        <v/>
      </c>
    </row>
    <row r="21">
      <c r="A21" s="16">
        <f>DATE(2026,2,1)</f>
        <v/>
      </c>
      <c r="B21" s="4">
        <f>COUNTIFS('Kho Xe'!D4:D203,"&gt;="&amp;$A21,'Kho Xe'!D4:D203,"&lt;="&amp;EOMONTH($A21,0))</f>
        <v/>
      </c>
      <c r="C21" s="8">
        <f>SUMIFS('Kho Xe'!C4:C203,'Kho Xe'!D4:D203,"&gt;="&amp;$A21,'Kho Xe'!D4:D203,"&lt;="&amp;EOMONTH($A21,0))</f>
        <v/>
      </c>
      <c r="D21" s="4">
        <f>COUNTIFS('Kho Xe'!M4:M203,"&gt;="&amp;$A21,'Kho Xe'!M4:M203,"&lt;="&amp;EOMONTH($A21,0))</f>
        <v/>
      </c>
      <c r="E21" s="8">
        <f>SUMIFS('Kho Xe'!P4:P203,'Kho Xe'!M4:M203,"&gt;="&amp;$A21,'Kho Xe'!M4:M203,"&lt;="&amp;EOMONTH($A21,0))</f>
        <v/>
      </c>
    </row>
    <row r="22">
      <c r="A22" s="16">
        <f>DATE(2026,3,1)</f>
        <v/>
      </c>
      <c r="B22" s="4">
        <f>COUNTIFS('Kho Xe'!D4:D203,"&gt;="&amp;$A22,'Kho Xe'!D4:D203,"&lt;="&amp;EOMONTH($A22,0))</f>
        <v/>
      </c>
      <c r="C22" s="8">
        <f>SUMIFS('Kho Xe'!C4:C203,'Kho Xe'!D4:D203,"&gt;="&amp;$A22,'Kho Xe'!D4:D203,"&lt;="&amp;EOMONTH($A22,0))</f>
        <v/>
      </c>
      <c r="D22" s="4">
        <f>COUNTIFS('Kho Xe'!M4:M203,"&gt;="&amp;$A22,'Kho Xe'!M4:M203,"&lt;="&amp;EOMONTH($A22,0))</f>
        <v/>
      </c>
      <c r="E22" s="8">
        <f>SUMIFS('Kho Xe'!P4:P203,'Kho Xe'!M4:M203,"&gt;="&amp;$A22,'Kho Xe'!M4:M203,"&lt;="&amp;EOMONTH($A22,0))</f>
        <v/>
      </c>
    </row>
    <row r="23">
      <c r="A23" s="16">
        <f>DATE(2026,4,1)</f>
        <v/>
      </c>
      <c r="B23" s="4">
        <f>COUNTIFS('Kho Xe'!D4:D203,"&gt;="&amp;$A23,'Kho Xe'!D4:D203,"&lt;="&amp;EOMONTH($A23,0))</f>
        <v/>
      </c>
      <c r="C23" s="8">
        <f>SUMIFS('Kho Xe'!C4:C203,'Kho Xe'!D4:D203,"&gt;="&amp;$A23,'Kho Xe'!D4:D203,"&lt;="&amp;EOMONTH($A23,0))</f>
        <v/>
      </c>
      <c r="D23" s="4">
        <f>COUNTIFS('Kho Xe'!M4:M203,"&gt;="&amp;$A23,'Kho Xe'!M4:M203,"&lt;="&amp;EOMONTH($A23,0))</f>
        <v/>
      </c>
      <c r="E23" s="8">
        <f>SUMIFS('Kho Xe'!P4:P203,'Kho Xe'!M4:M203,"&gt;="&amp;$A23,'Kho Xe'!M4:M203,"&lt;="&amp;EOMONTH($A23,0))</f>
        <v/>
      </c>
    </row>
    <row r="24">
      <c r="A24" s="16">
        <f>DATE(2026,5,1)</f>
        <v/>
      </c>
      <c r="B24" s="4">
        <f>COUNTIFS('Kho Xe'!D4:D203,"&gt;="&amp;$A24,'Kho Xe'!D4:D203,"&lt;="&amp;EOMONTH($A24,0))</f>
        <v/>
      </c>
      <c r="C24" s="8">
        <f>SUMIFS('Kho Xe'!C4:C203,'Kho Xe'!D4:D203,"&gt;="&amp;$A24,'Kho Xe'!D4:D203,"&lt;="&amp;EOMONTH($A24,0))</f>
        <v/>
      </c>
      <c r="D24" s="4">
        <f>COUNTIFS('Kho Xe'!M4:M203,"&gt;="&amp;$A24,'Kho Xe'!M4:M203,"&lt;="&amp;EOMONTH($A24,0))</f>
        <v/>
      </c>
      <c r="E24" s="8">
        <f>SUMIFS('Kho Xe'!P4:P203,'Kho Xe'!M4:M203,"&gt;="&amp;$A24,'Kho Xe'!M4:M203,"&lt;="&amp;EOMONTH($A24,0))</f>
        <v/>
      </c>
    </row>
    <row r="25">
      <c r="A25" s="16">
        <f>DATE(2026,6,1)</f>
        <v/>
      </c>
      <c r="B25" s="4">
        <f>COUNTIFS('Kho Xe'!D4:D203,"&gt;="&amp;$A25,'Kho Xe'!D4:D203,"&lt;="&amp;EOMONTH($A25,0))</f>
        <v/>
      </c>
      <c r="C25" s="8">
        <f>SUMIFS('Kho Xe'!C4:C203,'Kho Xe'!D4:D203,"&gt;="&amp;$A25,'Kho Xe'!D4:D203,"&lt;="&amp;EOMONTH($A25,0))</f>
        <v/>
      </c>
      <c r="D25" s="4">
        <f>COUNTIFS('Kho Xe'!M4:M203,"&gt;="&amp;$A25,'Kho Xe'!M4:M203,"&lt;="&amp;EOMONTH($A25,0))</f>
        <v/>
      </c>
      <c r="E25" s="8">
        <f>SUMIFS('Kho Xe'!P4:P203,'Kho Xe'!M4:M203,"&gt;="&amp;$A25,'Kho Xe'!M4:M203,"&lt;="&amp;EOMONTH($A25,0))</f>
        <v/>
      </c>
    </row>
    <row r="26">
      <c r="A26" s="16">
        <f>DATE(2026,7,1)</f>
        <v/>
      </c>
      <c r="B26" s="4">
        <f>COUNTIFS('Kho Xe'!D4:D203,"&gt;="&amp;$A26,'Kho Xe'!D4:D203,"&lt;="&amp;EOMONTH($A26,0))</f>
        <v/>
      </c>
      <c r="C26" s="8">
        <f>SUMIFS('Kho Xe'!C4:C203,'Kho Xe'!D4:D203,"&gt;="&amp;$A26,'Kho Xe'!D4:D203,"&lt;="&amp;EOMONTH($A26,0))</f>
        <v/>
      </c>
      <c r="D26" s="4">
        <f>COUNTIFS('Kho Xe'!M4:M203,"&gt;="&amp;$A26,'Kho Xe'!M4:M203,"&lt;="&amp;EOMONTH($A26,0))</f>
        <v/>
      </c>
      <c r="E26" s="8">
        <f>SUMIFS('Kho Xe'!P4:P203,'Kho Xe'!M4:M203,"&gt;="&amp;$A26,'Kho Xe'!M4:M203,"&lt;="&amp;EOMONTH($A26,0))</f>
        <v/>
      </c>
    </row>
    <row r="27">
      <c r="A27" s="16">
        <f>DATE(2026,8,1)</f>
        <v/>
      </c>
      <c r="B27" s="4">
        <f>COUNTIFS('Kho Xe'!D4:D203,"&gt;="&amp;$A27,'Kho Xe'!D4:D203,"&lt;="&amp;EOMONTH($A27,0))</f>
        <v/>
      </c>
      <c r="C27" s="8">
        <f>SUMIFS('Kho Xe'!C4:C203,'Kho Xe'!D4:D203,"&gt;="&amp;$A27,'Kho Xe'!D4:D203,"&lt;="&amp;EOMONTH($A27,0))</f>
        <v/>
      </c>
      <c r="D27" s="4">
        <f>COUNTIFS('Kho Xe'!M4:M203,"&gt;="&amp;$A27,'Kho Xe'!M4:M203,"&lt;="&amp;EOMONTH($A27,0))</f>
        <v/>
      </c>
      <c r="E27" s="8">
        <f>SUMIFS('Kho Xe'!P4:P203,'Kho Xe'!M4:M203,"&gt;="&amp;$A27,'Kho Xe'!M4:M203,"&lt;="&amp;EOMONTH($A27,0))</f>
        <v/>
      </c>
    </row>
    <row r="28">
      <c r="A28" s="16">
        <f>DATE(2026,9,1)</f>
        <v/>
      </c>
      <c r="B28" s="4">
        <f>COUNTIFS('Kho Xe'!D4:D203,"&gt;="&amp;$A28,'Kho Xe'!D4:D203,"&lt;="&amp;EOMONTH($A28,0))</f>
        <v/>
      </c>
      <c r="C28" s="8">
        <f>SUMIFS('Kho Xe'!C4:C203,'Kho Xe'!D4:D203,"&gt;="&amp;$A28,'Kho Xe'!D4:D203,"&lt;="&amp;EOMONTH($A28,0))</f>
        <v/>
      </c>
      <c r="D28" s="4">
        <f>COUNTIFS('Kho Xe'!M4:M203,"&gt;="&amp;$A28,'Kho Xe'!M4:M203,"&lt;="&amp;EOMONTH($A28,0))</f>
        <v/>
      </c>
      <c r="E28" s="8">
        <f>SUMIFS('Kho Xe'!P4:P203,'Kho Xe'!M4:M203,"&gt;="&amp;$A28,'Kho Xe'!M4:M203,"&lt;="&amp;EOMONTH($A28,0))</f>
        <v/>
      </c>
    </row>
    <row r="29">
      <c r="A29" s="16">
        <f>DATE(2026,10,1)</f>
        <v/>
      </c>
      <c r="B29" s="4">
        <f>COUNTIFS('Kho Xe'!D4:D203,"&gt;="&amp;$A29,'Kho Xe'!D4:D203,"&lt;="&amp;EOMONTH($A29,0))</f>
        <v/>
      </c>
      <c r="C29" s="8">
        <f>SUMIFS('Kho Xe'!C4:C203,'Kho Xe'!D4:D203,"&gt;="&amp;$A29,'Kho Xe'!D4:D203,"&lt;="&amp;EOMONTH($A29,0))</f>
        <v/>
      </c>
      <c r="D29" s="4">
        <f>COUNTIFS('Kho Xe'!M4:M203,"&gt;="&amp;$A29,'Kho Xe'!M4:M203,"&lt;="&amp;EOMONTH($A29,0))</f>
        <v/>
      </c>
      <c r="E29" s="8">
        <f>SUMIFS('Kho Xe'!P4:P203,'Kho Xe'!M4:M203,"&gt;="&amp;$A29,'Kho Xe'!M4:M203,"&lt;="&amp;EOMONTH($A29,0))</f>
        <v/>
      </c>
    </row>
    <row r="30">
      <c r="A30" s="16">
        <f>DATE(2026,11,1)</f>
        <v/>
      </c>
      <c r="B30" s="4">
        <f>COUNTIFS('Kho Xe'!D4:D203,"&gt;="&amp;$A30,'Kho Xe'!D4:D203,"&lt;="&amp;EOMONTH($A30,0))</f>
        <v/>
      </c>
      <c r="C30" s="8">
        <f>SUMIFS('Kho Xe'!C4:C203,'Kho Xe'!D4:D203,"&gt;="&amp;$A30,'Kho Xe'!D4:D203,"&lt;="&amp;EOMONTH($A30,0))</f>
        <v/>
      </c>
      <c r="D30" s="4">
        <f>COUNTIFS('Kho Xe'!M4:M203,"&gt;="&amp;$A30,'Kho Xe'!M4:M203,"&lt;="&amp;EOMONTH($A30,0))</f>
        <v/>
      </c>
      <c r="E30" s="8">
        <f>SUMIFS('Kho Xe'!P4:P203,'Kho Xe'!M4:M203,"&gt;="&amp;$A30,'Kho Xe'!M4:M203,"&lt;="&amp;EOMONTH($A30,0))</f>
        <v/>
      </c>
    </row>
    <row r="31">
      <c r="A31" s="16">
        <f>DATE(2026,12,1)</f>
        <v/>
      </c>
      <c r="B31" s="4">
        <f>COUNTIFS('Kho Xe'!D4:D203,"&gt;="&amp;$A31,'Kho Xe'!D4:D203,"&lt;="&amp;EOMONTH($A31,0))</f>
        <v/>
      </c>
      <c r="C31" s="8">
        <f>SUMIFS('Kho Xe'!C4:C203,'Kho Xe'!D4:D203,"&gt;="&amp;$A31,'Kho Xe'!D4:D203,"&lt;="&amp;EOMONTH($A31,0))</f>
        <v/>
      </c>
      <c r="D31" s="4">
        <f>COUNTIFS('Kho Xe'!M4:M203,"&gt;="&amp;$A31,'Kho Xe'!M4:M203,"&lt;="&amp;EOMONTH($A31,0))</f>
        <v/>
      </c>
      <c r="E31" s="8">
        <f>SUMIFS('Kho Xe'!P4:P203,'Kho Xe'!M4:M203,"&gt;="&amp;$A31,'Kho Xe'!M4:M203,"&lt;="&amp;EOMONTH($A31,0))</f>
        <v/>
      </c>
    </row>
    <row r="33">
      <c r="A33" s="17" t="inlineStr">
        <is>
          <t>Sửa năm trong cột Tháng (ô nền vàng) nếu bạn muốn xem năm khác.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26" customHeight="1">
      <c r="A1" s="1" t="inlineStr">
        <is>
          <t>HƯỚNG DẪN SỬ DỤNG</t>
        </is>
      </c>
    </row>
    <row r="2">
      <c r="A2" s="18" t="inlineStr"/>
    </row>
    <row r="3">
      <c r="A3" s="19" t="inlineStr">
        <is>
          <t>QUY TẮC MÀU</t>
        </is>
      </c>
    </row>
    <row r="4">
      <c r="A4" s="18" t="inlineStr">
        <is>
          <t>• Ô NỀN VÀNG (chữ xanh) = bạn tự điền tay.</t>
        </is>
      </c>
    </row>
    <row r="5">
      <c r="A5" s="18" t="inlineStr">
        <is>
          <t>• Ô NỀN XÁM (chữ đen) = Excel tự tính, KHÔNG sửa (sửa là hỏng công thức).</t>
        </is>
      </c>
    </row>
    <row r="6">
      <c r="A6" s="18" t="inlineStr"/>
    </row>
    <row r="7">
      <c r="A7" s="19" t="inlineStr">
        <is>
          <t>QUY TRÌNH 1 CON XE</t>
        </is>
      </c>
    </row>
    <row r="8">
      <c r="A8" s="18" t="inlineStr">
        <is>
          <t>1. NHẬP XE: điền Tên xe, Giá nhập, Ngày nhập, chọn Trạng thái = 'Còn hàng'.</t>
        </is>
      </c>
    </row>
    <row r="9">
      <c r="A9" s="18" t="inlineStr">
        <is>
          <t xml:space="preserve">   → Cột 'Giá dự kiến (+35%)' tự hiện ra giá nên bán.</t>
        </is>
      </c>
    </row>
    <row r="10">
      <c r="A10" s="18" t="inlineStr">
        <is>
          <t>2. KHÁCH CỌC: chọn Trạng thái = 'Đã đặt cọc', điền Tên khách, Tiền cọc,</t>
        </is>
      </c>
    </row>
    <row r="11">
      <c r="A11" s="18" t="inlineStr">
        <is>
          <t xml:space="preserve">   Giá bán ra (chốt), Ngày cọc.</t>
        </is>
      </c>
    </row>
    <row r="12">
      <c r="A12" s="18" t="inlineStr">
        <is>
          <t xml:space="preserve">   → Cột 'Còn thanh toán' tự tính = Giá bán ra − Tiền cọc.</t>
        </is>
      </c>
    </row>
    <row r="13">
      <c r="A13" s="18" t="inlineStr">
        <is>
          <t>3. BÁN XE: chọn Trạng thái = 'Đã bán', điền Giá bán thực tế và Ngày bán.</t>
        </is>
      </c>
    </row>
    <row r="14">
      <c r="A14" s="18" t="inlineStr">
        <is>
          <t xml:space="preserve">   → Cột 'Thuế 5%' và 'Lãi thực' tự tính ra ngay.</t>
        </is>
      </c>
    </row>
    <row r="15">
      <c r="A15" s="18" t="inlineStr"/>
    </row>
    <row r="16">
      <c r="A16" s="19" t="inlineStr">
        <is>
          <t>CÁCH TÍNH (giống hệt phần mềm)</t>
        </is>
      </c>
    </row>
    <row r="17">
      <c r="A17" s="18" t="inlineStr">
        <is>
          <t>• Giá dự kiến   = Giá nhập × 1,35   (cộng 35%)</t>
        </is>
      </c>
    </row>
    <row r="18">
      <c r="A18" s="18" t="inlineStr">
        <is>
          <t>• Còn thanh toán = Giá bán ra − Tiền cọc</t>
        </is>
      </c>
    </row>
    <row r="19">
      <c r="A19" s="18" t="inlineStr">
        <is>
          <t>• Thuế 5%       = Giá bán thực tế × 5%</t>
        </is>
      </c>
    </row>
    <row r="20">
      <c r="A20" s="18" t="inlineStr">
        <is>
          <t>• LÃI THỰC      = Giá bán thực tế × 0,95 − Giá nhập   (đã trừ thuế 5%)</t>
        </is>
      </c>
    </row>
    <row r="21">
      <c r="A21" s="18" t="inlineStr"/>
    </row>
    <row r="22">
      <c r="A22" s="19" t="inlineStr">
        <is>
          <t>CỘT 'ĐỦ 48H?'</t>
        </is>
      </c>
    </row>
    <row r="23">
      <c r="A23" s="18" t="inlineStr">
        <is>
          <t>• Hiện 'Chưa' nếu xe chưa đủ 48 tiếng kể từ Ngày nhập → chưa nên bán.</t>
        </is>
      </c>
    </row>
    <row r="24">
      <c r="A24" s="18" t="inlineStr">
        <is>
          <t>• Hiện 'Đủ' khi đã qua 48 tiếng → bán được.</t>
        </is>
      </c>
    </row>
    <row r="25">
      <c r="A25" s="18" t="inlineStr">
        <is>
          <t>• Nếu đã điền Ngày bán, cột này tính theo Ngày bán chứ không theo giờ hiện tại.</t>
        </is>
      </c>
    </row>
    <row r="26">
      <c r="A26" s="18" t="inlineStr"/>
    </row>
    <row r="27">
      <c r="A27" s="19" t="inlineStr">
        <is>
          <t>MẸO</t>
        </is>
      </c>
    </row>
    <row r="28">
      <c r="A28" s="18" t="inlineStr">
        <is>
          <t>• Bấm mũi tên ở dòng tiêu đề để LỌC (vd: chỉ xem xe 'Còn hàng').</t>
        </is>
      </c>
    </row>
    <row r="29">
      <c r="A29" s="18" t="inlineStr">
        <is>
          <t>• Xem tab 'Tổng Hợp' để biết tổng vốn, tiền cọc đang giữ, tổng lãi, lãi từng tháng.</t>
        </is>
      </c>
    </row>
    <row r="30">
      <c r="A30" s="18" t="inlineStr">
        <is>
          <t>• Dòng ví dụ (Wave Alpha) xoá đi được sau khi bạn đã hiểu cách dùng.</t>
        </is>
      </c>
    </row>
    <row r="31">
      <c r="A31" s="18" t="inlineStr">
        <is>
          <t>• File có sẵn 200 dòng. Cần thêm thì copy 1 dòng trống kéo xuống là công thức tự theo.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2026-08-03T18:30:15Z</dcterms:created>
  <dcterms:modified xmlns:dcterms="http://purl.org/dc/terms/" xmlns:xsi="http://www.w3.org/2001/XMLSchema-instance" xsi:type="dcterms:W3CDTF">2026-08-03T18:30:15Z</dcterms:modified>
</cp:coreProperties>
</file>