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BuonBanXe\"/>
    </mc:Choice>
  </mc:AlternateContent>
  <xr:revisionPtr revIDLastSave="0" documentId="13_ncr:1_{A4AC7B00-7A51-4345-BB22-58E08C9D8E3E}" xr6:coauthVersionLast="36" xr6:coauthVersionMax="36" xr10:uidLastSave="{00000000-0000-0000-0000-000000000000}"/>
  <bookViews>
    <workbookView xWindow="0" yWindow="0" windowWidth="28800" windowHeight="12945" xr2:uid="{00000000-000D-0000-FFFF-FFFF00000000}"/>
  </bookViews>
  <sheets>
    <sheet name="Kho Xe" sheetId="1" r:id="rId1"/>
    <sheet name="Tổng Hợp" sheetId="2" r:id="rId2"/>
    <sheet name="Hướng Dẫn" sheetId="3" r:id="rId3"/>
  </sheets>
  <definedNames>
    <definedName name="_xlnm._FilterDatabase" localSheetId="0" hidden="1">'Kho Xe'!$A$3:$Q$203</definedName>
  </definedNames>
  <calcPr calcId="191029"/>
</workbook>
</file>

<file path=xl/calcChain.xml><?xml version="1.0" encoding="utf-8"?>
<calcChain xmlns="http://schemas.openxmlformats.org/spreadsheetml/2006/main">
  <c r="A31" i="2" l="1"/>
  <c r="A30" i="2"/>
  <c r="A29" i="2"/>
  <c r="A28" i="2"/>
  <c r="A27" i="2"/>
  <c r="D27" i="2" s="1"/>
  <c r="A26" i="2"/>
  <c r="E26" i="2" s="1"/>
  <c r="A25" i="2"/>
  <c r="E25" i="2" s="1"/>
  <c r="A24" i="2"/>
  <c r="E24" i="2" s="1"/>
  <c r="A23" i="2"/>
  <c r="E23" i="2" s="1"/>
  <c r="A22" i="2"/>
  <c r="A21" i="2"/>
  <c r="A20" i="2"/>
  <c r="B13" i="2"/>
  <c r="B11" i="2"/>
  <c r="B10" i="2"/>
  <c r="B9" i="2"/>
  <c r="B8" i="2"/>
  <c r="B6" i="2"/>
  <c r="B5" i="2"/>
  <c r="B4" i="2"/>
  <c r="B3" i="2"/>
  <c r="P203" i="1"/>
  <c r="O203" i="1"/>
  <c r="N203" i="1"/>
  <c r="J203" i="1"/>
  <c r="E203" i="1"/>
  <c r="A203" i="1"/>
  <c r="P202" i="1"/>
  <c r="O202" i="1"/>
  <c r="N202" i="1"/>
  <c r="J202" i="1"/>
  <c r="E202" i="1"/>
  <c r="A202" i="1"/>
  <c r="P201" i="1"/>
  <c r="O201" i="1"/>
  <c r="N201" i="1"/>
  <c r="J201" i="1"/>
  <c r="E201" i="1"/>
  <c r="A201" i="1"/>
  <c r="P200" i="1"/>
  <c r="O200" i="1"/>
  <c r="N200" i="1"/>
  <c r="J200" i="1"/>
  <c r="E200" i="1"/>
  <c r="A200" i="1"/>
  <c r="P199" i="1"/>
  <c r="O199" i="1"/>
  <c r="N199" i="1"/>
  <c r="J199" i="1"/>
  <c r="E199" i="1"/>
  <c r="A199" i="1"/>
  <c r="P198" i="1"/>
  <c r="O198" i="1"/>
  <c r="N198" i="1"/>
  <c r="J198" i="1"/>
  <c r="E198" i="1"/>
  <c r="A198" i="1"/>
  <c r="P197" i="1"/>
  <c r="O197" i="1"/>
  <c r="N197" i="1"/>
  <c r="J197" i="1"/>
  <c r="E197" i="1"/>
  <c r="A197" i="1"/>
  <c r="P196" i="1"/>
  <c r="O196" i="1"/>
  <c r="N196" i="1"/>
  <c r="J196" i="1"/>
  <c r="E196" i="1"/>
  <c r="A196" i="1"/>
  <c r="P195" i="1"/>
  <c r="O195" i="1"/>
  <c r="N195" i="1"/>
  <c r="J195" i="1"/>
  <c r="E195" i="1"/>
  <c r="A195" i="1"/>
  <c r="P194" i="1"/>
  <c r="O194" i="1"/>
  <c r="N194" i="1"/>
  <c r="J194" i="1"/>
  <c r="E194" i="1"/>
  <c r="A194" i="1"/>
  <c r="P193" i="1"/>
  <c r="O193" i="1"/>
  <c r="N193" i="1"/>
  <c r="J193" i="1"/>
  <c r="E193" i="1"/>
  <c r="A193" i="1"/>
  <c r="P192" i="1"/>
  <c r="O192" i="1"/>
  <c r="N192" i="1"/>
  <c r="J192" i="1"/>
  <c r="E192" i="1"/>
  <c r="A192" i="1"/>
  <c r="P191" i="1"/>
  <c r="O191" i="1"/>
  <c r="N191" i="1"/>
  <c r="J191" i="1"/>
  <c r="E191" i="1"/>
  <c r="A191" i="1"/>
  <c r="P190" i="1"/>
  <c r="O190" i="1"/>
  <c r="N190" i="1"/>
  <c r="J190" i="1"/>
  <c r="E190" i="1"/>
  <c r="A190" i="1"/>
  <c r="P189" i="1"/>
  <c r="O189" i="1"/>
  <c r="N189" i="1"/>
  <c r="J189" i="1"/>
  <c r="E189" i="1"/>
  <c r="A189" i="1"/>
  <c r="P188" i="1"/>
  <c r="O188" i="1"/>
  <c r="N188" i="1"/>
  <c r="J188" i="1"/>
  <c r="E188" i="1"/>
  <c r="A188" i="1"/>
  <c r="P187" i="1"/>
  <c r="O187" i="1"/>
  <c r="N187" i="1"/>
  <c r="J187" i="1"/>
  <c r="E187" i="1"/>
  <c r="A187" i="1"/>
  <c r="P186" i="1"/>
  <c r="O186" i="1"/>
  <c r="N186" i="1"/>
  <c r="J186" i="1"/>
  <c r="E186" i="1"/>
  <c r="A186" i="1"/>
  <c r="P185" i="1"/>
  <c r="O185" i="1"/>
  <c r="N185" i="1"/>
  <c r="J185" i="1"/>
  <c r="E185" i="1"/>
  <c r="A185" i="1"/>
  <c r="P184" i="1"/>
  <c r="O184" i="1"/>
  <c r="N184" i="1"/>
  <c r="J184" i="1"/>
  <c r="E184" i="1"/>
  <c r="A184" i="1"/>
  <c r="P183" i="1"/>
  <c r="O183" i="1"/>
  <c r="N183" i="1"/>
  <c r="J183" i="1"/>
  <c r="E183" i="1"/>
  <c r="A183" i="1"/>
  <c r="P182" i="1"/>
  <c r="O182" i="1"/>
  <c r="N182" i="1"/>
  <c r="J182" i="1"/>
  <c r="E182" i="1"/>
  <c r="A182" i="1"/>
  <c r="P181" i="1"/>
  <c r="O181" i="1"/>
  <c r="N181" i="1"/>
  <c r="J181" i="1"/>
  <c r="E181" i="1"/>
  <c r="A181" i="1"/>
  <c r="P180" i="1"/>
  <c r="O180" i="1"/>
  <c r="N180" i="1"/>
  <c r="J180" i="1"/>
  <c r="E180" i="1"/>
  <c r="A180" i="1"/>
  <c r="P179" i="1"/>
  <c r="O179" i="1"/>
  <c r="N179" i="1"/>
  <c r="J179" i="1"/>
  <c r="E179" i="1"/>
  <c r="A179" i="1"/>
  <c r="P178" i="1"/>
  <c r="O178" i="1"/>
  <c r="N178" i="1"/>
  <c r="J178" i="1"/>
  <c r="E178" i="1"/>
  <c r="A178" i="1"/>
  <c r="P177" i="1"/>
  <c r="O177" i="1"/>
  <c r="N177" i="1"/>
  <c r="J177" i="1"/>
  <c r="E177" i="1"/>
  <c r="A177" i="1"/>
  <c r="P176" i="1"/>
  <c r="O176" i="1"/>
  <c r="N176" i="1"/>
  <c r="J176" i="1"/>
  <c r="E176" i="1"/>
  <c r="A176" i="1"/>
  <c r="P175" i="1"/>
  <c r="O175" i="1"/>
  <c r="N175" i="1"/>
  <c r="J175" i="1"/>
  <c r="E175" i="1"/>
  <c r="A175" i="1"/>
  <c r="P174" i="1"/>
  <c r="O174" i="1"/>
  <c r="N174" i="1"/>
  <c r="J174" i="1"/>
  <c r="E174" i="1"/>
  <c r="A174" i="1"/>
  <c r="P173" i="1"/>
  <c r="O173" i="1"/>
  <c r="N173" i="1"/>
  <c r="J173" i="1"/>
  <c r="E173" i="1"/>
  <c r="A173" i="1"/>
  <c r="P172" i="1"/>
  <c r="O172" i="1"/>
  <c r="N172" i="1"/>
  <c r="J172" i="1"/>
  <c r="E172" i="1"/>
  <c r="A172" i="1"/>
  <c r="P171" i="1"/>
  <c r="O171" i="1"/>
  <c r="N171" i="1"/>
  <c r="J171" i="1"/>
  <c r="E171" i="1"/>
  <c r="A171" i="1"/>
  <c r="P170" i="1"/>
  <c r="O170" i="1"/>
  <c r="N170" i="1"/>
  <c r="J170" i="1"/>
  <c r="E170" i="1"/>
  <c r="A170" i="1"/>
  <c r="P169" i="1"/>
  <c r="O169" i="1"/>
  <c r="N169" i="1"/>
  <c r="J169" i="1"/>
  <c r="E169" i="1"/>
  <c r="A169" i="1"/>
  <c r="P168" i="1"/>
  <c r="O168" i="1"/>
  <c r="N168" i="1"/>
  <c r="J168" i="1"/>
  <c r="E168" i="1"/>
  <c r="A168" i="1"/>
  <c r="P167" i="1"/>
  <c r="O167" i="1"/>
  <c r="N167" i="1"/>
  <c r="J167" i="1"/>
  <c r="E167" i="1"/>
  <c r="A167" i="1"/>
  <c r="P166" i="1"/>
  <c r="O166" i="1"/>
  <c r="N166" i="1"/>
  <c r="J166" i="1"/>
  <c r="E166" i="1"/>
  <c r="A166" i="1"/>
  <c r="P165" i="1"/>
  <c r="O165" i="1"/>
  <c r="N165" i="1"/>
  <c r="J165" i="1"/>
  <c r="E165" i="1"/>
  <c r="A165" i="1"/>
  <c r="P164" i="1"/>
  <c r="O164" i="1"/>
  <c r="N164" i="1"/>
  <c r="J164" i="1"/>
  <c r="E164" i="1"/>
  <c r="A164" i="1"/>
  <c r="P163" i="1"/>
  <c r="O163" i="1"/>
  <c r="N163" i="1"/>
  <c r="J163" i="1"/>
  <c r="E163" i="1"/>
  <c r="A163" i="1"/>
  <c r="P162" i="1"/>
  <c r="O162" i="1"/>
  <c r="N162" i="1"/>
  <c r="J162" i="1"/>
  <c r="E162" i="1"/>
  <c r="A162" i="1"/>
  <c r="P161" i="1"/>
  <c r="O161" i="1"/>
  <c r="N161" i="1"/>
  <c r="J161" i="1"/>
  <c r="E161" i="1"/>
  <c r="A161" i="1"/>
  <c r="P160" i="1"/>
  <c r="O160" i="1"/>
  <c r="N160" i="1"/>
  <c r="J160" i="1"/>
  <c r="E160" i="1"/>
  <c r="A160" i="1"/>
  <c r="P159" i="1"/>
  <c r="O159" i="1"/>
  <c r="N159" i="1"/>
  <c r="J159" i="1"/>
  <c r="E159" i="1"/>
  <c r="A159" i="1"/>
  <c r="P158" i="1"/>
  <c r="O158" i="1"/>
  <c r="N158" i="1"/>
  <c r="J158" i="1"/>
  <c r="E158" i="1"/>
  <c r="A158" i="1"/>
  <c r="P157" i="1"/>
  <c r="O157" i="1"/>
  <c r="N157" i="1"/>
  <c r="J157" i="1"/>
  <c r="E157" i="1"/>
  <c r="A157" i="1"/>
  <c r="P156" i="1"/>
  <c r="O156" i="1"/>
  <c r="N156" i="1"/>
  <c r="J156" i="1"/>
  <c r="E156" i="1"/>
  <c r="A156" i="1"/>
  <c r="P155" i="1"/>
  <c r="O155" i="1"/>
  <c r="N155" i="1"/>
  <c r="J155" i="1"/>
  <c r="E155" i="1"/>
  <c r="A155" i="1"/>
  <c r="P154" i="1"/>
  <c r="O154" i="1"/>
  <c r="N154" i="1"/>
  <c r="J154" i="1"/>
  <c r="E154" i="1"/>
  <c r="A154" i="1"/>
  <c r="P153" i="1"/>
  <c r="O153" i="1"/>
  <c r="N153" i="1"/>
  <c r="J153" i="1"/>
  <c r="E153" i="1"/>
  <c r="A153" i="1"/>
  <c r="P152" i="1"/>
  <c r="O152" i="1"/>
  <c r="N152" i="1"/>
  <c r="J152" i="1"/>
  <c r="E152" i="1"/>
  <c r="A152" i="1"/>
  <c r="P151" i="1"/>
  <c r="O151" i="1"/>
  <c r="N151" i="1"/>
  <c r="J151" i="1"/>
  <c r="E151" i="1"/>
  <c r="A151" i="1"/>
  <c r="P150" i="1"/>
  <c r="O150" i="1"/>
  <c r="N150" i="1"/>
  <c r="J150" i="1"/>
  <c r="E150" i="1"/>
  <c r="A150" i="1"/>
  <c r="P149" i="1"/>
  <c r="O149" i="1"/>
  <c r="N149" i="1"/>
  <c r="J149" i="1"/>
  <c r="E149" i="1"/>
  <c r="A149" i="1"/>
  <c r="P148" i="1"/>
  <c r="O148" i="1"/>
  <c r="N148" i="1"/>
  <c r="J148" i="1"/>
  <c r="E148" i="1"/>
  <c r="A148" i="1"/>
  <c r="P147" i="1"/>
  <c r="O147" i="1"/>
  <c r="N147" i="1"/>
  <c r="J147" i="1"/>
  <c r="E147" i="1"/>
  <c r="A147" i="1"/>
  <c r="P146" i="1"/>
  <c r="O146" i="1"/>
  <c r="N146" i="1"/>
  <c r="J146" i="1"/>
  <c r="E146" i="1"/>
  <c r="A146" i="1"/>
  <c r="P145" i="1"/>
  <c r="O145" i="1"/>
  <c r="N145" i="1"/>
  <c r="J145" i="1"/>
  <c r="E145" i="1"/>
  <c r="A145" i="1"/>
  <c r="P144" i="1"/>
  <c r="O144" i="1"/>
  <c r="N144" i="1"/>
  <c r="J144" i="1"/>
  <c r="E144" i="1"/>
  <c r="A144" i="1"/>
  <c r="P143" i="1"/>
  <c r="O143" i="1"/>
  <c r="N143" i="1"/>
  <c r="J143" i="1"/>
  <c r="E143" i="1"/>
  <c r="A143" i="1"/>
  <c r="P142" i="1"/>
  <c r="O142" i="1"/>
  <c r="N142" i="1"/>
  <c r="J142" i="1"/>
  <c r="E142" i="1"/>
  <c r="A142" i="1"/>
  <c r="P141" i="1"/>
  <c r="O141" i="1"/>
  <c r="N141" i="1"/>
  <c r="J141" i="1"/>
  <c r="E141" i="1"/>
  <c r="A141" i="1"/>
  <c r="P140" i="1"/>
  <c r="O140" i="1"/>
  <c r="N140" i="1"/>
  <c r="J140" i="1"/>
  <c r="E140" i="1"/>
  <c r="A140" i="1"/>
  <c r="P139" i="1"/>
  <c r="O139" i="1"/>
  <c r="N139" i="1"/>
  <c r="J139" i="1"/>
  <c r="E139" i="1"/>
  <c r="A139" i="1"/>
  <c r="P138" i="1"/>
  <c r="O138" i="1"/>
  <c r="N138" i="1"/>
  <c r="J138" i="1"/>
  <c r="E138" i="1"/>
  <c r="A138" i="1"/>
  <c r="P137" i="1"/>
  <c r="O137" i="1"/>
  <c r="N137" i="1"/>
  <c r="J137" i="1"/>
  <c r="E137" i="1"/>
  <c r="A137" i="1"/>
  <c r="P136" i="1"/>
  <c r="O136" i="1"/>
  <c r="N136" i="1"/>
  <c r="J136" i="1"/>
  <c r="E136" i="1"/>
  <c r="A136" i="1"/>
  <c r="P135" i="1"/>
  <c r="O135" i="1"/>
  <c r="N135" i="1"/>
  <c r="J135" i="1"/>
  <c r="E135" i="1"/>
  <c r="A135" i="1"/>
  <c r="P134" i="1"/>
  <c r="O134" i="1"/>
  <c r="N134" i="1"/>
  <c r="J134" i="1"/>
  <c r="E134" i="1"/>
  <c r="A134" i="1"/>
  <c r="P133" i="1"/>
  <c r="O133" i="1"/>
  <c r="N133" i="1"/>
  <c r="J133" i="1"/>
  <c r="E133" i="1"/>
  <c r="A133" i="1"/>
  <c r="P132" i="1"/>
  <c r="O132" i="1"/>
  <c r="N132" i="1"/>
  <c r="J132" i="1"/>
  <c r="E132" i="1"/>
  <c r="A132" i="1"/>
  <c r="P131" i="1"/>
  <c r="O131" i="1"/>
  <c r="N131" i="1"/>
  <c r="J131" i="1"/>
  <c r="E131" i="1"/>
  <c r="A131" i="1"/>
  <c r="P130" i="1"/>
  <c r="O130" i="1"/>
  <c r="N130" i="1"/>
  <c r="J130" i="1"/>
  <c r="E130" i="1"/>
  <c r="A130" i="1"/>
  <c r="P129" i="1"/>
  <c r="O129" i="1"/>
  <c r="N129" i="1"/>
  <c r="J129" i="1"/>
  <c r="E129" i="1"/>
  <c r="A129" i="1"/>
  <c r="P128" i="1"/>
  <c r="O128" i="1"/>
  <c r="N128" i="1"/>
  <c r="J128" i="1"/>
  <c r="E128" i="1"/>
  <c r="A128" i="1"/>
  <c r="P127" i="1"/>
  <c r="O127" i="1"/>
  <c r="N127" i="1"/>
  <c r="J127" i="1"/>
  <c r="E127" i="1"/>
  <c r="A127" i="1"/>
  <c r="P126" i="1"/>
  <c r="O126" i="1"/>
  <c r="N126" i="1"/>
  <c r="J126" i="1"/>
  <c r="E126" i="1"/>
  <c r="A126" i="1"/>
  <c r="P125" i="1"/>
  <c r="O125" i="1"/>
  <c r="N125" i="1"/>
  <c r="J125" i="1"/>
  <c r="E125" i="1"/>
  <c r="A125" i="1"/>
  <c r="P124" i="1"/>
  <c r="O124" i="1"/>
  <c r="N124" i="1"/>
  <c r="J124" i="1"/>
  <c r="E124" i="1"/>
  <c r="A124" i="1"/>
  <c r="P123" i="1"/>
  <c r="O123" i="1"/>
  <c r="N123" i="1"/>
  <c r="J123" i="1"/>
  <c r="E123" i="1"/>
  <c r="A123" i="1"/>
  <c r="P122" i="1"/>
  <c r="O122" i="1"/>
  <c r="N122" i="1"/>
  <c r="J122" i="1"/>
  <c r="E122" i="1"/>
  <c r="A122" i="1"/>
  <c r="P121" i="1"/>
  <c r="O121" i="1"/>
  <c r="N121" i="1"/>
  <c r="J121" i="1"/>
  <c r="E121" i="1"/>
  <c r="A121" i="1"/>
  <c r="P120" i="1"/>
  <c r="O120" i="1"/>
  <c r="N120" i="1"/>
  <c r="J120" i="1"/>
  <c r="E120" i="1"/>
  <c r="A120" i="1"/>
  <c r="P119" i="1"/>
  <c r="O119" i="1"/>
  <c r="N119" i="1"/>
  <c r="J119" i="1"/>
  <c r="E119" i="1"/>
  <c r="A119" i="1"/>
  <c r="P118" i="1"/>
  <c r="O118" i="1"/>
  <c r="N118" i="1"/>
  <c r="J118" i="1"/>
  <c r="E118" i="1"/>
  <c r="A118" i="1"/>
  <c r="P117" i="1"/>
  <c r="O117" i="1"/>
  <c r="N117" i="1"/>
  <c r="J117" i="1"/>
  <c r="E117" i="1"/>
  <c r="A117" i="1"/>
  <c r="P116" i="1"/>
  <c r="O116" i="1"/>
  <c r="N116" i="1"/>
  <c r="J116" i="1"/>
  <c r="E116" i="1"/>
  <c r="A116" i="1"/>
  <c r="P115" i="1"/>
  <c r="O115" i="1"/>
  <c r="N115" i="1"/>
  <c r="J115" i="1"/>
  <c r="E115" i="1"/>
  <c r="A115" i="1"/>
  <c r="P114" i="1"/>
  <c r="O114" i="1"/>
  <c r="N114" i="1"/>
  <c r="J114" i="1"/>
  <c r="E114" i="1"/>
  <c r="A114" i="1"/>
  <c r="P113" i="1"/>
  <c r="O113" i="1"/>
  <c r="N113" i="1"/>
  <c r="J113" i="1"/>
  <c r="E113" i="1"/>
  <c r="A113" i="1"/>
  <c r="P112" i="1"/>
  <c r="O112" i="1"/>
  <c r="N112" i="1"/>
  <c r="J112" i="1"/>
  <c r="E112" i="1"/>
  <c r="A112" i="1"/>
  <c r="P111" i="1"/>
  <c r="O111" i="1"/>
  <c r="N111" i="1"/>
  <c r="J111" i="1"/>
  <c r="E111" i="1"/>
  <c r="A111" i="1"/>
  <c r="P110" i="1"/>
  <c r="O110" i="1"/>
  <c r="N110" i="1"/>
  <c r="J110" i="1"/>
  <c r="E110" i="1"/>
  <c r="A110" i="1"/>
  <c r="P109" i="1"/>
  <c r="O109" i="1"/>
  <c r="N109" i="1"/>
  <c r="J109" i="1"/>
  <c r="E109" i="1"/>
  <c r="A109" i="1"/>
  <c r="P108" i="1"/>
  <c r="O108" i="1"/>
  <c r="N108" i="1"/>
  <c r="J108" i="1"/>
  <c r="E108" i="1"/>
  <c r="A108" i="1"/>
  <c r="P107" i="1"/>
  <c r="O107" i="1"/>
  <c r="N107" i="1"/>
  <c r="J107" i="1"/>
  <c r="E107" i="1"/>
  <c r="A107" i="1"/>
  <c r="P106" i="1"/>
  <c r="O106" i="1"/>
  <c r="N106" i="1"/>
  <c r="J106" i="1"/>
  <c r="E106" i="1"/>
  <c r="A106" i="1"/>
  <c r="P105" i="1"/>
  <c r="O105" i="1"/>
  <c r="N105" i="1"/>
  <c r="J105" i="1"/>
  <c r="E105" i="1"/>
  <c r="A105" i="1"/>
  <c r="P104" i="1"/>
  <c r="O104" i="1"/>
  <c r="N104" i="1"/>
  <c r="J104" i="1"/>
  <c r="E104" i="1"/>
  <c r="A104" i="1"/>
  <c r="P103" i="1"/>
  <c r="O103" i="1"/>
  <c r="N103" i="1"/>
  <c r="J103" i="1"/>
  <c r="E103" i="1"/>
  <c r="A103" i="1"/>
  <c r="P102" i="1"/>
  <c r="O102" i="1"/>
  <c r="N102" i="1"/>
  <c r="J102" i="1"/>
  <c r="E102" i="1"/>
  <c r="A102" i="1"/>
  <c r="P101" i="1"/>
  <c r="O101" i="1"/>
  <c r="N101" i="1"/>
  <c r="J101" i="1"/>
  <c r="E101" i="1"/>
  <c r="A101" i="1"/>
  <c r="P100" i="1"/>
  <c r="O100" i="1"/>
  <c r="N100" i="1"/>
  <c r="J100" i="1"/>
  <c r="E100" i="1"/>
  <c r="A100" i="1"/>
  <c r="P99" i="1"/>
  <c r="O99" i="1"/>
  <c r="N99" i="1"/>
  <c r="J99" i="1"/>
  <c r="E99" i="1"/>
  <c r="A99" i="1"/>
  <c r="P98" i="1"/>
  <c r="O98" i="1"/>
  <c r="N98" i="1"/>
  <c r="J98" i="1"/>
  <c r="E98" i="1"/>
  <c r="A98" i="1"/>
  <c r="P97" i="1"/>
  <c r="O97" i="1"/>
  <c r="N97" i="1"/>
  <c r="J97" i="1"/>
  <c r="E97" i="1"/>
  <c r="A97" i="1"/>
  <c r="P96" i="1"/>
  <c r="O96" i="1"/>
  <c r="N96" i="1"/>
  <c r="J96" i="1"/>
  <c r="E96" i="1"/>
  <c r="A96" i="1"/>
  <c r="P95" i="1"/>
  <c r="O95" i="1"/>
  <c r="N95" i="1"/>
  <c r="J95" i="1"/>
  <c r="E95" i="1"/>
  <c r="A95" i="1"/>
  <c r="P94" i="1"/>
  <c r="O94" i="1"/>
  <c r="N94" i="1"/>
  <c r="J94" i="1"/>
  <c r="E94" i="1"/>
  <c r="A94" i="1"/>
  <c r="P93" i="1"/>
  <c r="O93" i="1"/>
  <c r="N93" i="1"/>
  <c r="J93" i="1"/>
  <c r="E93" i="1"/>
  <c r="A93" i="1"/>
  <c r="P92" i="1"/>
  <c r="O92" i="1"/>
  <c r="N92" i="1"/>
  <c r="J92" i="1"/>
  <c r="E92" i="1"/>
  <c r="A92" i="1"/>
  <c r="P91" i="1"/>
  <c r="O91" i="1"/>
  <c r="N91" i="1"/>
  <c r="J91" i="1"/>
  <c r="E91" i="1"/>
  <c r="A91" i="1"/>
  <c r="P90" i="1"/>
  <c r="O90" i="1"/>
  <c r="N90" i="1"/>
  <c r="J90" i="1"/>
  <c r="E90" i="1"/>
  <c r="A90" i="1"/>
  <c r="P89" i="1"/>
  <c r="O89" i="1"/>
  <c r="N89" i="1"/>
  <c r="J89" i="1"/>
  <c r="E89" i="1"/>
  <c r="A89" i="1"/>
  <c r="P88" i="1"/>
  <c r="O88" i="1"/>
  <c r="N88" i="1"/>
  <c r="J88" i="1"/>
  <c r="E88" i="1"/>
  <c r="A88" i="1"/>
  <c r="P87" i="1"/>
  <c r="O87" i="1"/>
  <c r="N87" i="1"/>
  <c r="J87" i="1"/>
  <c r="E87" i="1"/>
  <c r="A87" i="1"/>
  <c r="P86" i="1"/>
  <c r="O86" i="1"/>
  <c r="N86" i="1"/>
  <c r="J86" i="1"/>
  <c r="E86" i="1"/>
  <c r="A86" i="1"/>
  <c r="P85" i="1"/>
  <c r="O85" i="1"/>
  <c r="N85" i="1"/>
  <c r="J85" i="1"/>
  <c r="E85" i="1"/>
  <c r="A85" i="1"/>
  <c r="P84" i="1"/>
  <c r="O84" i="1"/>
  <c r="N84" i="1"/>
  <c r="J84" i="1"/>
  <c r="E84" i="1"/>
  <c r="A84" i="1"/>
  <c r="P83" i="1"/>
  <c r="O83" i="1"/>
  <c r="N83" i="1"/>
  <c r="J83" i="1"/>
  <c r="E83" i="1"/>
  <c r="A83" i="1"/>
  <c r="P82" i="1"/>
  <c r="O82" i="1"/>
  <c r="N82" i="1"/>
  <c r="J82" i="1"/>
  <c r="E82" i="1"/>
  <c r="A82" i="1"/>
  <c r="P81" i="1"/>
  <c r="O81" i="1"/>
  <c r="N81" i="1"/>
  <c r="J81" i="1"/>
  <c r="E81" i="1"/>
  <c r="A81" i="1"/>
  <c r="P80" i="1"/>
  <c r="O80" i="1"/>
  <c r="N80" i="1"/>
  <c r="J80" i="1"/>
  <c r="E80" i="1"/>
  <c r="A80" i="1"/>
  <c r="P79" i="1"/>
  <c r="O79" i="1"/>
  <c r="N79" i="1"/>
  <c r="J79" i="1"/>
  <c r="E79" i="1"/>
  <c r="A79" i="1"/>
  <c r="P78" i="1"/>
  <c r="O78" i="1"/>
  <c r="N78" i="1"/>
  <c r="J78" i="1"/>
  <c r="E78" i="1"/>
  <c r="A78" i="1"/>
  <c r="P77" i="1"/>
  <c r="O77" i="1"/>
  <c r="N77" i="1"/>
  <c r="J77" i="1"/>
  <c r="E77" i="1"/>
  <c r="A77" i="1"/>
  <c r="P76" i="1"/>
  <c r="O76" i="1"/>
  <c r="N76" i="1"/>
  <c r="J76" i="1"/>
  <c r="E76" i="1"/>
  <c r="A76" i="1"/>
  <c r="P75" i="1"/>
  <c r="O75" i="1"/>
  <c r="N75" i="1"/>
  <c r="J75" i="1"/>
  <c r="E75" i="1"/>
  <c r="A75" i="1"/>
  <c r="P74" i="1"/>
  <c r="O74" i="1"/>
  <c r="N74" i="1"/>
  <c r="J74" i="1"/>
  <c r="E74" i="1"/>
  <c r="A74" i="1"/>
  <c r="P73" i="1"/>
  <c r="O73" i="1"/>
  <c r="N73" i="1"/>
  <c r="J73" i="1"/>
  <c r="E73" i="1"/>
  <c r="A73" i="1"/>
  <c r="P72" i="1"/>
  <c r="O72" i="1"/>
  <c r="N72" i="1"/>
  <c r="J72" i="1"/>
  <c r="E72" i="1"/>
  <c r="A72" i="1"/>
  <c r="P71" i="1"/>
  <c r="O71" i="1"/>
  <c r="N71" i="1"/>
  <c r="J71" i="1"/>
  <c r="E71" i="1"/>
  <c r="A71" i="1"/>
  <c r="P70" i="1"/>
  <c r="O70" i="1"/>
  <c r="N70" i="1"/>
  <c r="J70" i="1"/>
  <c r="E70" i="1"/>
  <c r="A70" i="1"/>
  <c r="P69" i="1"/>
  <c r="O69" i="1"/>
  <c r="N69" i="1"/>
  <c r="J69" i="1"/>
  <c r="E69" i="1"/>
  <c r="A69" i="1"/>
  <c r="P68" i="1"/>
  <c r="O68" i="1"/>
  <c r="N68" i="1"/>
  <c r="J68" i="1"/>
  <c r="E68" i="1"/>
  <c r="A68" i="1"/>
  <c r="P67" i="1"/>
  <c r="O67" i="1"/>
  <c r="N67" i="1"/>
  <c r="J67" i="1"/>
  <c r="E67" i="1"/>
  <c r="A67" i="1"/>
  <c r="P66" i="1"/>
  <c r="O66" i="1"/>
  <c r="N66" i="1"/>
  <c r="J66" i="1"/>
  <c r="E66" i="1"/>
  <c r="A66" i="1"/>
  <c r="P65" i="1"/>
  <c r="O65" i="1"/>
  <c r="N65" i="1"/>
  <c r="J65" i="1"/>
  <c r="E65" i="1"/>
  <c r="A65" i="1"/>
  <c r="P64" i="1"/>
  <c r="O64" i="1"/>
  <c r="N64" i="1"/>
  <c r="J64" i="1"/>
  <c r="E64" i="1"/>
  <c r="A64" i="1"/>
  <c r="P63" i="1"/>
  <c r="O63" i="1"/>
  <c r="N63" i="1"/>
  <c r="J63" i="1"/>
  <c r="E63" i="1"/>
  <c r="A63" i="1"/>
  <c r="P62" i="1"/>
  <c r="O62" i="1"/>
  <c r="N62" i="1"/>
  <c r="J62" i="1"/>
  <c r="E62" i="1"/>
  <c r="A62" i="1"/>
  <c r="P61" i="1"/>
  <c r="O61" i="1"/>
  <c r="N61" i="1"/>
  <c r="J61" i="1"/>
  <c r="E61" i="1"/>
  <c r="A61" i="1"/>
  <c r="P60" i="1"/>
  <c r="O60" i="1"/>
  <c r="N60" i="1"/>
  <c r="J60" i="1"/>
  <c r="E60" i="1"/>
  <c r="A60" i="1"/>
  <c r="P59" i="1"/>
  <c r="O59" i="1"/>
  <c r="N59" i="1"/>
  <c r="J59" i="1"/>
  <c r="E59" i="1"/>
  <c r="A59" i="1"/>
  <c r="P58" i="1"/>
  <c r="O58" i="1"/>
  <c r="N58" i="1"/>
  <c r="J58" i="1"/>
  <c r="E58" i="1"/>
  <c r="A58" i="1"/>
  <c r="P57" i="1"/>
  <c r="O57" i="1"/>
  <c r="N57" i="1"/>
  <c r="J57" i="1"/>
  <c r="E57" i="1"/>
  <c r="A57" i="1"/>
  <c r="P56" i="1"/>
  <c r="O56" i="1"/>
  <c r="N56" i="1"/>
  <c r="J56" i="1"/>
  <c r="E56" i="1"/>
  <c r="A56" i="1"/>
  <c r="P55" i="1"/>
  <c r="O55" i="1"/>
  <c r="N55" i="1"/>
  <c r="J55" i="1"/>
  <c r="E55" i="1"/>
  <c r="A55" i="1"/>
  <c r="P54" i="1"/>
  <c r="O54" i="1"/>
  <c r="N54" i="1"/>
  <c r="J54" i="1"/>
  <c r="E54" i="1"/>
  <c r="A54" i="1"/>
  <c r="P53" i="1"/>
  <c r="O53" i="1"/>
  <c r="N53" i="1"/>
  <c r="J53" i="1"/>
  <c r="E53" i="1"/>
  <c r="A53" i="1"/>
  <c r="P52" i="1"/>
  <c r="O52" i="1"/>
  <c r="N52" i="1"/>
  <c r="J52" i="1"/>
  <c r="E52" i="1"/>
  <c r="A52" i="1"/>
  <c r="P51" i="1"/>
  <c r="O51" i="1"/>
  <c r="N51" i="1"/>
  <c r="J51" i="1"/>
  <c r="E51" i="1"/>
  <c r="A51" i="1"/>
  <c r="P50" i="1"/>
  <c r="O50" i="1"/>
  <c r="N50" i="1"/>
  <c r="J50" i="1"/>
  <c r="E50" i="1"/>
  <c r="A50" i="1"/>
  <c r="P49" i="1"/>
  <c r="O49" i="1"/>
  <c r="N49" i="1"/>
  <c r="J49" i="1"/>
  <c r="E49" i="1"/>
  <c r="A49" i="1"/>
  <c r="P48" i="1"/>
  <c r="O48" i="1"/>
  <c r="N48" i="1"/>
  <c r="J48" i="1"/>
  <c r="E48" i="1"/>
  <c r="A48" i="1"/>
  <c r="P47" i="1"/>
  <c r="O47" i="1"/>
  <c r="N47" i="1"/>
  <c r="J47" i="1"/>
  <c r="E47" i="1"/>
  <c r="A47" i="1"/>
  <c r="P46" i="1"/>
  <c r="O46" i="1"/>
  <c r="N46" i="1"/>
  <c r="J46" i="1"/>
  <c r="E46" i="1"/>
  <c r="A46" i="1"/>
  <c r="P45" i="1"/>
  <c r="O45" i="1"/>
  <c r="N45" i="1"/>
  <c r="J45" i="1"/>
  <c r="E45" i="1"/>
  <c r="A45" i="1"/>
  <c r="P44" i="1"/>
  <c r="O44" i="1"/>
  <c r="N44" i="1"/>
  <c r="J44" i="1"/>
  <c r="E44" i="1"/>
  <c r="A44" i="1"/>
  <c r="P43" i="1"/>
  <c r="O43" i="1"/>
  <c r="N43" i="1"/>
  <c r="J43" i="1"/>
  <c r="E43" i="1"/>
  <c r="A43" i="1"/>
  <c r="P42" i="1"/>
  <c r="O42" i="1"/>
  <c r="N42" i="1"/>
  <c r="J42" i="1"/>
  <c r="E42" i="1"/>
  <c r="A42" i="1"/>
  <c r="P41" i="1"/>
  <c r="O41" i="1"/>
  <c r="N41" i="1"/>
  <c r="J41" i="1"/>
  <c r="E41" i="1"/>
  <c r="A41" i="1"/>
  <c r="P40" i="1"/>
  <c r="O40" i="1"/>
  <c r="N40" i="1"/>
  <c r="J40" i="1"/>
  <c r="E40" i="1"/>
  <c r="A40" i="1"/>
  <c r="P39" i="1"/>
  <c r="O39" i="1"/>
  <c r="N39" i="1"/>
  <c r="J39" i="1"/>
  <c r="E39" i="1"/>
  <c r="A39" i="1"/>
  <c r="P38" i="1"/>
  <c r="O38" i="1"/>
  <c r="N38" i="1"/>
  <c r="J38" i="1"/>
  <c r="E38" i="1"/>
  <c r="A38" i="1"/>
  <c r="P37" i="1"/>
  <c r="O37" i="1"/>
  <c r="N37" i="1"/>
  <c r="J37" i="1"/>
  <c r="E37" i="1"/>
  <c r="A37" i="1"/>
  <c r="P36" i="1"/>
  <c r="O36" i="1"/>
  <c r="N36" i="1"/>
  <c r="J36" i="1"/>
  <c r="E36" i="1"/>
  <c r="A36" i="1"/>
  <c r="P35" i="1"/>
  <c r="O35" i="1"/>
  <c r="N35" i="1"/>
  <c r="J35" i="1"/>
  <c r="E35" i="1"/>
  <c r="A35" i="1"/>
  <c r="P34" i="1"/>
  <c r="O34" i="1"/>
  <c r="N34" i="1"/>
  <c r="J34" i="1"/>
  <c r="E34" i="1"/>
  <c r="A34" i="1"/>
  <c r="P33" i="1"/>
  <c r="O33" i="1"/>
  <c r="N33" i="1"/>
  <c r="J33" i="1"/>
  <c r="E33" i="1"/>
  <c r="A33" i="1"/>
  <c r="P32" i="1"/>
  <c r="O32" i="1"/>
  <c r="N32" i="1"/>
  <c r="J32" i="1"/>
  <c r="E32" i="1"/>
  <c r="A32" i="1"/>
  <c r="P31" i="1"/>
  <c r="O31" i="1"/>
  <c r="N31" i="1"/>
  <c r="J31" i="1"/>
  <c r="E31" i="1"/>
  <c r="A31" i="1"/>
  <c r="P30" i="1"/>
  <c r="O30" i="1"/>
  <c r="N30" i="1"/>
  <c r="J30" i="1"/>
  <c r="E30" i="1"/>
  <c r="A30" i="1"/>
  <c r="P29" i="1"/>
  <c r="O29" i="1"/>
  <c r="N29" i="1"/>
  <c r="J29" i="1"/>
  <c r="E29" i="1"/>
  <c r="A29" i="1"/>
  <c r="P28" i="1"/>
  <c r="O28" i="1"/>
  <c r="N28" i="1"/>
  <c r="J28" i="1"/>
  <c r="E28" i="1"/>
  <c r="A28" i="1"/>
  <c r="P27" i="1"/>
  <c r="O27" i="1"/>
  <c r="N27" i="1"/>
  <c r="J27" i="1"/>
  <c r="E27" i="1"/>
  <c r="A27" i="1"/>
  <c r="P26" i="1"/>
  <c r="O26" i="1"/>
  <c r="N26" i="1"/>
  <c r="J26" i="1"/>
  <c r="E26" i="1"/>
  <c r="A26" i="1"/>
  <c r="P25" i="1"/>
  <c r="O25" i="1"/>
  <c r="N25" i="1"/>
  <c r="J25" i="1"/>
  <c r="E25" i="1"/>
  <c r="A25" i="1"/>
  <c r="P24" i="1"/>
  <c r="O24" i="1"/>
  <c r="N24" i="1"/>
  <c r="J24" i="1"/>
  <c r="E24" i="1"/>
  <c r="A24" i="1"/>
  <c r="P23" i="1"/>
  <c r="O23" i="1"/>
  <c r="N23" i="1"/>
  <c r="J23" i="1"/>
  <c r="E23" i="1"/>
  <c r="A23" i="1"/>
  <c r="P22" i="1"/>
  <c r="O22" i="1"/>
  <c r="N22" i="1"/>
  <c r="J22" i="1"/>
  <c r="E22" i="1"/>
  <c r="A22" i="1"/>
  <c r="P21" i="1"/>
  <c r="O21" i="1"/>
  <c r="N21" i="1"/>
  <c r="J21" i="1"/>
  <c r="E21" i="1"/>
  <c r="A21" i="1"/>
  <c r="P20" i="1"/>
  <c r="O20" i="1"/>
  <c r="N20" i="1"/>
  <c r="J20" i="1"/>
  <c r="E20" i="1"/>
  <c r="A20" i="1"/>
  <c r="P19" i="1"/>
  <c r="O19" i="1"/>
  <c r="N19" i="1"/>
  <c r="J19" i="1"/>
  <c r="E19" i="1"/>
  <c r="A19" i="1"/>
  <c r="P18" i="1"/>
  <c r="O18" i="1"/>
  <c r="N18" i="1"/>
  <c r="J18" i="1"/>
  <c r="E18" i="1"/>
  <c r="A18" i="1"/>
  <c r="P17" i="1"/>
  <c r="O17" i="1"/>
  <c r="N17" i="1"/>
  <c r="J17" i="1"/>
  <c r="E17" i="1"/>
  <c r="A17" i="1"/>
  <c r="P16" i="1"/>
  <c r="O16" i="1"/>
  <c r="N16" i="1"/>
  <c r="J16" i="1"/>
  <c r="E16" i="1"/>
  <c r="A16" i="1"/>
  <c r="P15" i="1"/>
  <c r="O15" i="1"/>
  <c r="N15" i="1"/>
  <c r="J15" i="1"/>
  <c r="E15" i="1"/>
  <c r="A15" i="1"/>
  <c r="P14" i="1"/>
  <c r="O14" i="1"/>
  <c r="N14" i="1"/>
  <c r="J14" i="1"/>
  <c r="E14" i="1"/>
  <c r="A14" i="1"/>
  <c r="P13" i="1"/>
  <c r="O13" i="1"/>
  <c r="N13" i="1"/>
  <c r="J13" i="1"/>
  <c r="E13" i="1"/>
  <c r="A13" i="1"/>
  <c r="P12" i="1"/>
  <c r="O12" i="1"/>
  <c r="N12" i="1"/>
  <c r="J12" i="1"/>
  <c r="E12" i="1"/>
  <c r="A12" i="1"/>
  <c r="P11" i="1"/>
  <c r="O11" i="1"/>
  <c r="N11" i="1"/>
  <c r="J11" i="1"/>
  <c r="E11" i="1"/>
  <c r="A11" i="1"/>
  <c r="P10" i="1"/>
  <c r="O10" i="1"/>
  <c r="N10" i="1"/>
  <c r="J10" i="1"/>
  <c r="E10" i="1"/>
  <c r="A10" i="1"/>
  <c r="P9" i="1"/>
  <c r="O9" i="1"/>
  <c r="N9" i="1"/>
  <c r="J9" i="1"/>
  <c r="E9" i="1"/>
  <c r="A9" i="1"/>
  <c r="P8" i="1"/>
  <c r="O8" i="1"/>
  <c r="N8" i="1"/>
  <c r="J8" i="1"/>
  <c r="E8" i="1"/>
  <c r="A8" i="1"/>
  <c r="P7" i="1"/>
  <c r="O7" i="1"/>
  <c r="N7" i="1"/>
  <c r="J7" i="1"/>
  <c r="E7" i="1"/>
  <c r="A7" i="1"/>
  <c r="P6" i="1"/>
  <c r="O6" i="1"/>
  <c r="N6" i="1"/>
  <c r="J6" i="1"/>
  <c r="E6" i="1"/>
  <c r="A6" i="1"/>
  <c r="P5" i="1"/>
  <c r="O5" i="1"/>
  <c r="N5" i="1"/>
  <c r="J5" i="1"/>
  <c r="E5" i="1"/>
  <c r="A5" i="1"/>
  <c r="P4" i="1"/>
  <c r="O4" i="1"/>
  <c r="M4" i="1"/>
  <c r="D22" i="2" s="1"/>
  <c r="K4" i="1"/>
  <c r="J4" i="1"/>
  <c r="E4" i="1"/>
  <c r="D4" i="1"/>
  <c r="N4" i="1" s="1"/>
  <c r="A4" i="1"/>
  <c r="D26" i="2" l="1"/>
  <c r="C25" i="2"/>
  <c r="E27" i="2"/>
  <c r="E28" i="2"/>
  <c r="E29" i="2"/>
  <c r="E20" i="2"/>
  <c r="B29" i="2"/>
  <c r="E21" i="2"/>
  <c r="C29" i="2"/>
  <c r="B21" i="2"/>
  <c r="C30" i="2"/>
  <c r="C21" i="2"/>
  <c r="D30" i="2"/>
  <c r="C22" i="2"/>
  <c r="E30" i="2"/>
  <c r="E31" i="2"/>
  <c r="D23" i="2"/>
  <c r="B25" i="2"/>
  <c r="C26" i="2"/>
  <c r="B14" i="2"/>
  <c r="B15" i="2"/>
  <c r="E22" i="2"/>
  <c r="D31" i="2"/>
  <c r="B20" i="2"/>
  <c r="B24" i="2"/>
  <c r="B28" i="2"/>
  <c r="C20" i="2"/>
  <c r="C24" i="2"/>
  <c r="C28" i="2"/>
  <c r="D20" i="2"/>
  <c r="D24" i="2"/>
  <c r="D28" i="2"/>
  <c r="D21" i="2"/>
  <c r="D25" i="2"/>
  <c r="D29" i="2"/>
  <c r="B22" i="2"/>
  <c r="B26" i="2"/>
  <c r="B30" i="2"/>
  <c r="B23" i="2"/>
  <c r="B27" i="2"/>
  <c r="B31" i="2"/>
  <c r="C23" i="2"/>
  <c r="C27" i="2"/>
  <c r="C31" i="2"/>
</calcChain>
</file>

<file path=xl/sharedStrings.xml><?xml version="1.0" encoding="utf-8"?>
<sst xmlns="http://schemas.openxmlformats.org/spreadsheetml/2006/main" count="70" uniqueCount="68">
  <si>
    <t>QUẢN LÝ KHO XE — NHẬP · CỌC · BÁN · LÃI</t>
  </si>
  <si>
    <t>Ô NỀN VÀNG = bạn tự điền  •  Ô NỀN XÁM = công thức tự tính, đừng sửa  •  Dòng 4 là ví dụ mẫu, xoá được</t>
  </si>
  <si>
    <t>STT</t>
  </si>
  <si>
    <t>Tên xe</t>
  </si>
  <si>
    <t>Giá nhập</t>
  </si>
  <si>
    <t>Ngày nhập</t>
  </si>
  <si>
    <t>Giá dự kiến (+35%)</t>
  </si>
  <si>
    <t>Trạng thái</t>
  </si>
  <si>
    <t>Tên khách</t>
  </si>
  <si>
    <t>Tiền cọc</t>
  </si>
  <si>
    <t>Giá bán ra (chốt)</t>
  </si>
  <si>
    <t>Còn thanh toán</t>
  </si>
  <si>
    <t>Ngày cọc</t>
  </si>
  <si>
    <t>Giá bán thực tế</t>
  </si>
  <si>
    <t>Ngày bán</t>
  </si>
  <si>
    <t>Đủ 48h?</t>
  </si>
  <si>
    <t>Thuế 6%</t>
  </si>
  <si>
    <t>Lãi thực</t>
  </si>
  <si>
    <t>Ghi chú</t>
  </si>
  <si>
    <t>VÍ DỤ: Wave Alpha</t>
  </si>
  <si>
    <t>Đã bán</t>
  </si>
  <si>
    <t>Chị Lan</t>
  </si>
  <si>
    <t>Xe đẹp, khách quen</t>
  </si>
  <si>
    <t>poscher</t>
  </si>
  <si>
    <t>TỔNG HỢP TOÀN BỘ</t>
  </si>
  <si>
    <t>Tổng số xe đã nhập</t>
  </si>
  <si>
    <t>Xe còn hàng</t>
  </si>
  <si>
    <t>Xe đã đặt cọc</t>
  </si>
  <si>
    <t>Xe đã bán</t>
  </si>
  <si>
    <t>Tổng tiền đã bỏ ra (vốn nhập)</t>
  </si>
  <si>
    <t>Vốn đang nằm trong kho</t>
  </si>
  <si>
    <t>Tổng tiền cọc đang giữ</t>
  </si>
  <si>
    <t>Còn phải thu (xe đã cọc)</t>
  </si>
  <si>
    <t>Tổng doanh thu bán xe</t>
  </si>
  <si>
    <t>Tổng thuế 6% đã trả</t>
  </si>
  <si>
    <t>TỔNG LÃI THỰC</t>
  </si>
  <si>
    <t>THỐNG KÊ THEO THÁNG</t>
  </si>
  <si>
    <t>Tháng</t>
  </si>
  <si>
    <t>Xe nhập</t>
  </si>
  <si>
    <t>Vốn nhập</t>
  </si>
  <si>
    <t>Xe bán</t>
  </si>
  <si>
    <t>Sửa năm trong cột Tháng (ô nền vàng) nếu bạn muốn xem năm khác.</t>
  </si>
  <si>
    <t>HƯỚNG DẪN SỬ DỤNG</t>
  </si>
  <si>
    <t>QUY TẮC MÀU</t>
  </si>
  <si>
    <t>• Ô NỀN VÀNG (chữ xanh) = bạn tự điền tay.</t>
  </si>
  <si>
    <t>• Ô NỀN XÁM (chữ đen) = Excel tự tính, KHÔNG sửa (sửa là hỏng công thức).</t>
  </si>
  <si>
    <t>QUY TRÌNH 1 CON XE</t>
  </si>
  <si>
    <t>1. NHẬP XE: điền Tên xe, Giá nhập, Ngày nhập, chọn Trạng thái = 'Còn hàng'.</t>
  </si>
  <si>
    <t xml:space="preserve">   → Cột 'Giá dự kiến (+35%)' tự hiện ra giá nên bán.</t>
  </si>
  <si>
    <t>2. KHÁCH CỌC: chọn Trạng thái = 'Đã đặt cọc', điền Tên khách, Tiền cọc,</t>
  </si>
  <si>
    <t xml:space="preserve">   Giá bán ra (chốt), Ngày cọc.</t>
  </si>
  <si>
    <t xml:space="preserve">   → Cột 'Còn thanh toán' tự tính = Giá bán ra − Tiền cọc.</t>
  </si>
  <si>
    <t>3. BÁN XE: chọn Trạng thái = 'Đã bán', điền Giá bán thực tế và Ngày bán.</t>
  </si>
  <si>
    <t xml:space="preserve">   → Cột 'Thuế 6%' và 'Lãi thực' tự tính ra ngay.</t>
  </si>
  <si>
    <t>CÁCH TÍNH (giống hệt phần mềm)</t>
  </si>
  <si>
    <t>• Giá dự kiến   = Giá nhập × 1,35   (cộng 35%)</t>
  </si>
  <si>
    <t>• Còn thanh toán = Giá bán ra − Tiền cọc</t>
  </si>
  <si>
    <t>• Thuế 6%       = Giá bán thực tế × 6%</t>
  </si>
  <si>
    <t>• LÃI THỰC      = Giá bán thực tế × 0,94 − Giá nhập   (đã trừ thuế 6%)</t>
  </si>
  <si>
    <t>CỘT 'ĐỦ 48H?'</t>
  </si>
  <si>
    <t>• Hiện 'Chưa' nếu xe chưa đủ 48 tiếng kể từ Ngày nhập → chưa nên bán.</t>
  </si>
  <si>
    <t>• Hiện 'Đủ' khi đã qua 48 tiếng → bán được.</t>
  </si>
  <si>
    <t>• Nếu đã điền Ngày bán, cột này tính theo Ngày bán chứ không theo giờ hiện tại.</t>
  </si>
  <si>
    <t>MẸO</t>
  </si>
  <si>
    <t>• Bấm mũi tên ở dòng tiêu đề để LỌC (vd: chỉ xem xe 'Còn hàng').</t>
  </si>
  <si>
    <t>• Xem tab 'Tổng Hợp' để biết tổng vốn, tiền cọc đang giữ, tổng lãi, lãi từng tháng.</t>
  </si>
  <si>
    <t>• Dòng ví dụ (Wave Alpha) xoá đi được sau khi bạn đã hiểu cách dùng.</t>
  </si>
  <si>
    <t>• File có sẵn 200 dòng. Cần thêm thì copy 1 dòng trống kéo xuống là công thức tự theo.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</si>
</sst>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đ&quot;;\(#,##0\)\ &quot;đ&quot;;\-"/>
    <numFmt numFmtId="165" formatCode="dd/mm/yyyy\ hh:mm"/>
    <numFmt numFmtId="166" formatCode="mm/yyyy"/>
  </numFmts>
  <fonts count="11" x14ac:knownFonts="1">
    <font>
      <sz val="11"/>
      <color theme="1"/>
      <name val="Arial"/>
      <family val="2"/>
      <scheme val="minor"/>
    </font>
    <font>
      <b/>
      <sz val="14"/>
      <color rgb="FFFFFFFF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name val="Arial"/>
    </font>
    <font>
      <b/>
      <sz val="10"/>
      <name val="Arial"/>
    </font>
    <font>
      <b/>
      <sz val="10"/>
      <color rgb="FF008000"/>
      <name val="Arial"/>
    </font>
    <font>
      <b/>
      <sz val="12"/>
      <color rgb="FFC4702D"/>
      <name val="Arial"/>
    </font>
    <font>
      <b/>
      <sz val="11"/>
      <color rgb="FFC4702D"/>
      <name val="Arial"/>
    </font>
  </fonts>
  <fills count="7">
    <fill>
      <patternFill patternType="none"/>
    </fill>
    <fill>
      <patternFill patternType="gray125"/>
    </fill>
    <fill>
      <patternFill patternType="solid">
        <fgColor rgb="FFC4702D"/>
      </patternFill>
    </fill>
    <fill>
      <patternFill patternType="solid">
        <fgColor rgb="FF1C1815"/>
      </patternFill>
    </fill>
    <fill>
      <patternFill patternType="solid">
        <fgColor rgb="FFF0F0F0"/>
      </patternFill>
    </fill>
    <fill>
      <patternFill patternType="solid">
        <fgColor rgb="FFFFF9E6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5" fillId="5" borderId="1" xfId="0" applyFont="1" applyFill="1" applyBorder="1"/>
    <xf numFmtId="164" fontId="5" fillId="5" borderId="1" xfId="0" applyNumberFormat="1" applyFont="1" applyFill="1" applyBorder="1"/>
    <xf numFmtId="165" fontId="5" fillId="5" borderId="1" xfId="0" applyNumberFormat="1" applyFont="1" applyFill="1" applyBorder="1"/>
    <xf numFmtId="164" fontId="4" fillId="4" borderId="1" xfId="0" applyNumberFormat="1" applyFont="1" applyFill="1" applyBorder="1"/>
    <xf numFmtId="0" fontId="5" fillId="5" borderId="1" xfId="0" applyFont="1" applyFill="1" applyBorder="1" applyAlignment="1">
      <alignment horizontal="center"/>
    </xf>
    <xf numFmtId="0" fontId="6" fillId="0" borderId="1" xfId="0" applyFont="1" applyBorder="1"/>
    <xf numFmtId="0" fontId="4" fillId="4" borderId="1" xfId="0" applyFont="1" applyFill="1" applyBorder="1"/>
    <xf numFmtId="0" fontId="7" fillId="0" borderId="1" xfId="0" applyFont="1" applyBorder="1"/>
    <xf numFmtId="164" fontId="8" fillId="4" borderId="1" xfId="0" applyNumberFormat="1" applyFont="1" applyFill="1" applyBorder="1"/>
    <xf numFmtId="0" fontId="9" fillId="0" borderId="0" xfId="0" applyFont="1"/>
    <xf numFmtId="0" fontId="3" fillId="3" borderId="1" xfId="0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/>
    </xf>
    <xf numFmtId="0" fontId="2" fillId="0" borderId="0" xfId="0" applyFont="1"/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/>
    <xf numFmtId="164" fontId="5" fillId="6" borderId="1" xfId="0" applyNumberFormat="1" applyFont="1" applyFill="1" applyBorder="1"/>
    <xf numFmtId="0" fontId="0" fillId="6" borderId="0" xfId="0" applyFill="1"/>
    <xf numFmtId="164" fontId="4" fillId="6" borderId="1" xfId="0" applyNumberFormat="1" applyFont="1" applyFill="1" applyBorder="1"/>
    <xf numFmtId="165" fontId="5" fillId="6" borderId="1" xfId="0" applyNumberFormat="1" applyFont="1" applyFill="1" applyBorder="1"/>
    <xf numFmtId="0" fontId="2" fillId="0" borderId="0" xfId="0" applyFont="1" applyAlignment="1">
      <alignment horizontal="center"/>
    </xf>
    <xf numFmtId="0" fontId="0" fillId="0" borderId="0" xfId="0"/>
    <xf numFmtId="0" fontId="0" fillId="6" borderId="0" xfId="0" applyFill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FFF6E0"/>
        </patternFill>
      </fill>
    </dxf>
    <dxf>
      <fill>
        <patternFill patternType="solid">
          <fgColor rgb="FFF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3"/>
  <sheetViews>
    <sheetView tabSelected="1" zoomScale="115" zoomScaleNormal="115" workbookViewId="0">
      <pane xSplit="2" ySplit="3" topLeftCell="C4" activePane="bottomRight" state="frozen"/>
      <selection pane="topRight"/>
      <selection pane="bottomLeft"/>
      <selection pane="bottomRight" activeCell="L9" sqref="L9"/>
    </sheetView>
  </sheetViews>
  <sheetFormatPr defaultRowHeight="14.25" x14ac:dyDescent="0.2"/>
  <cols>
    <col min="1" max="1" width="6" style="18" customWidth="1"/>
    <col min="2" max="2" width="20" style="18" customWidth="1"/>
    <col min="3" max="3" width="15" style="18" customWidth="1"/>
    <col min="4" max="5" width="17" style="18" customWidth="1"/>
    <col min="6" max="6" width="14" style="18" customWidth="1"/>
    <col min="7" max="7" width="18" style="22" hidden="1" customWidth="1"/>
    <col min="8" max="8" width="14" style="22" hidden="1" customWidth="1"/>
    <col min="9" max="9" width="16" style="22" hidden="1" customWidth="1"/>
    <col min="10" max="10" width="15" style="22" hidden="1" customWidth="1"/>
    <col min="11" max="11" width="17" style="22" hidden="1" customWidth="1"/>
    <col min="12" max="12" width="15" style="18" customWidth="1"/>
    <col min="13" max="13" width="17" style="18" customWidth="1"/>
    <col min="14" max="14" width="10" style="18" customWidth="1"/>
    <col min="15" max="15" width="13" style="18" customWidth="1"/>
    <col min="16" max="16" width="15" style="18" customWidth="1"/>
    <col min="17" max="17" width="30" style="18" customWidth="1"/>
  </cols>
  <sheetData>
    <row r="1" spans="1:17" ht="26.1" customHeight="1" x14ac:dyDescent="0.2">
      <c r="A1" s="28" t="s">
        <v>0</v>
      </c>
      <c r="B1" s="26"/>
      <c r="C1" s="26"/>
      <c r="D1" s="26"/>
      <c r="E1" s="26"/>
      <c r="F1" s="26"/>
      <c r="G1" s="27"/>
      <c r="H1" s="27"/>
      <c r="I1" s="27"/>
      <c r="J1" s="27"/>
      <c r="K1" s="27"/>
      <c r="L1" s="26"/>
      <c r="M1" s="26"/>
      <c r="N1" s="26"/>
      <c r="O1" s="26"/>
      <c r="P1" s="26"/>
      <c r="Q1" s="26"/>
    </row>
    <row r="2" spans="1:17" x14ac:dyDescent="0.2">
      <c r="A2" s="25" t="s">
        <v>1</v>
      </c>
      <c r="B2" s="26"/>
      <c r="C2" s="26"/>
      <c r="D2" s="26"/>
      <c r="E2" s="26"/>
      <c r="F2" s="26"/>
      <c r="G2" s="27"/>
      <c r="H2" s="27"/>
      <c r="I2" s="27"/>
      <c r="J2" s="27"/>
      <c r="K2" s="27"/>
      <c r="L2" s="26"/>
      <c r="M2" s="26"/>
      <c r="N2" s="26"/>
      <c r="O2" s="26"/>
      <c r="P2" s="26"/>
      <c r="Q2" s="26"/>
    </row>
    <row r="3" spans="1:17" ht="30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9" t="s">
        <v>8</v>
      </c>
      <c r="H3" s="19" t="s">
        <v>9</v>
      </c>
      <c r="I3" s="19" t="s">
        <v>10</v>
      </c>
      <c r="J3" s="19" t="s">
        <v>11</v>
      </c>
      <c r="K3" s="19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7" x14ac:dyDescent="0.2">
      <c r="A4" s="2">
        <f t="shared" ref="A4:A35" si="0">IF(B4="","",ROW()-3)</f>
        <v>1</v>
      </c>
      <c r="B4" s="3" t="s">
        <v>19</v>
      </c>
      <c r="C4" s="4"/>
      <c r="D4" s="5">
        <f>DATE(2026,7,25)+TIME(9,0,0)</f>
        <v>46228.375</v>
      </c>
      <c r="E4" s="6" t="str">
        <f t="shared" ref="E4:E35" si="1">IF(C4="","",C4*1.35)</f>
        <v/>
      </c>
      <c r="F4" s="7" t="s">
        <v>20</v>
      </c>
      <c r="G4" s="20" t="s">
        <v>21</v>
      </c>
      <c r="H4" s="21">
        <v>1000000</v>
      </c>
      <c r="I4" s="21">
        <v>13000000</v>
      </c>
      <c r="J4" s="23">
        <f t="shared" ref="J4:J35" si="2">IF(OR(I4="",H4=""),"",MAX(0,I4-H4))</f>
        <v>12000000</v>
      </c>
      <c r="K4" s="24">
        <f>DATE(2026,7,26)+TIME(14,30,0)</f>
        <v>46229.604166666664</v>
      </c>
      <c r="L4" s="4"/>
      <c r="M4" s="5">
        <f>DATE(2026,7,27)+TIME(16,0,0)</f>
        <v>46230.666666666664</v>
      </c>
      <c r="N4" s="2" t="str">
        <f t="shared" ref="N4:N35" ca="1" si="3">IF(D4="","",IF(M4&lt;&gt;"",IF(M4-D4&gt;=2,"Đủ","Chưa"),IF(NOW()-D4&gt;=2,"Đủ","Chưa")))</f>
        <v>Đủ</v>
      </c>
      <c r="O4" s="6" t="str">
        <f t="shared" ref="O4:O35" si="4">IF(L4="","",L4*0.06)</f>
        <v/>
      </c>
      <c r="P4" s="6" t="str">
        <f t="shared" ref="P4:P35" si="5">IF(OR(L4="",C4=""),"",L4*0.94-C4)</f>
        <v/>
      </c>
      <c r="Q4" s="3" t="s">
        <v>22</v>
      </c>
    </row>
    <row r="5" spans="1:17" x14ac:dyDescent="0.2">
      <c r="A5" s="2">
        <f t="shared" si="0"/>
        <v>2</v>
      </c>
      <c r="B5" s="3" t="s">
        <v>23</v>
      </c>
      <c r="C5" s="4"/>
      <c r="D5" s="5">
        <v>46235.070833333331</v>
      </c>
      <c r="E5" s="6" t="str">
        <f t="shared" si="1"/>
        <v/>
      </c>
      <c r="F5" s="7" t="s">
        <v>20</v>
      </c>
      <c r="G5" s="20"/>
      <c r="H5" s="21"/>
      <c r="I5" s="21"/>
      <c r="J5" s="23" t="str">
        <f t="shared" si="2"/>
        <v/>
      </c>
      <c r="K5" s="24"/>
      <c r="L5" s="4"/>
      <c r="M5" s="5"/>
      <c r="N5" s="2" t="str">
        <f t="shared" ca="1" si="3"/>
        <v>Đủ</v>
      </c>
      <c r="O5" s="6" t="str">
        <f t="shared" si="4"/>
        <v/>
      </c>
      <c r="P5" s="6" t="str">
        <f t="shared" si="5"/>
        <v/>
      </c>
      <c r="Q5" s="3"/>
    </row>
    <row r="6" spans="1:17" x14ac:dyDescent="0.2">
      <c r="A6" s="2" t="str">
        <f t="shared" si="0"/>
        <v/>
      </c>
      <c r="B6" s="3"/>
      <c r="C6" s="4"/>
      <c r="D6" s="5"/>
      <c r="E6" s="6" t="str">
        <f t="shared" si="1"/>
        <v/>
      </c>
      <c r="F6" s="7"/>
      <c r="G6" s="20"/>
      <c r="H6" s="21"/>
      <c r="I6" s="21"/>
      <c r="J6" s="23" t="str">
        <f t="shared" si="2"/>
        <v/>
      </c>
      <c r="K6" s="24"/>
      <c r="L6" s="4"/>
      <c r="M6" s="5"/>
      <c r="N6" s="2" t="str">
        <f t="shared" ca="1" si="3"/>
        <v/>
      </c>
      <c r="O6" s="6" t="str">
        <f t="shared" si="4"/>
        <v/>
      </c>
      <c r="P6" s="6" t="str">
        <f t="shared" si="5"/>
        <v/>
      </c>
      <c r="Q6" s="3"/>
    </row>
    <row r="7" spans="1:17" x14ac:dyDescent="0.2">
      <c r="A7" s="2" t="str">
        <f t="shared" si="0"/>
        <v/>
      </c>
      <c r="B7" s="3"/>
      <c r="C7" s="4"/>
      <c r="D7" s="5"/>
      <c r="E7" s="6" t="str">
        <f t="shared" si="1"/>
        <v/>
      </c>
      <c r="F7" s="7"/>
      <c r="G7" s="20"/>
      <c r="H7" s="21"/>
      <c r="I7" s="21"/>
      <c r="J7" s="23" t="str">
        <f t="shared" si="2"/>
        <v/>
      </c>
      <c r="K7" s="24"/>
      <c r="L7" s="4"/>
      <c r="M7" s="5"/>
      <c r="N7" s="2" t="str">
        <f t="shared" ca="1" si="3"/>
        <v/>
      </c>
      <c r="O7" s="6" t="str">
        <f t="shared" si="4"/>
        <v/>
      </c>
      <c r="P7" s="6" t="str">
        <f t="shared" si="5"/>
        <v/>
      </c>
      <c r="Q7" s="3"/>
    </row>
    <row r="8" spans="1:17" x14ac:dyDescent="0.2">
      <c r="A8" s="2" t="str">
        <f t="shared" si="0"/>
        <v/>
      </c>
      <c r="B8" s="3"/>
      <c r="C8" s="4"/>
      <c r="D8" s="5"/>
      <c r="E8" s="6" t="str">
        <f t="shared" si="1"/>
        <v/>
      </c>
      <c r="F8" s="7"/>
      <c r="G8" s="20"/>
      <c r="H8" s="21"/>
      <c r="I8" s="21"/>
      <c r="J8" s="23" t="str">
        <f t="shared" si="2"/>
        <v/>
      </c>
      <c r="K8" s="24"/>
      <c r="L8" s="4"/>
      <c r="M8" s="5"/>
      <c r="N8" s="2" t="str">
        <f t="shared" ca="1" si="3"/>
        <v/>
      </c>
      <c r="O8" s="6" t="str">
        <f t="shared" si="4"/>
        <v/>
      </c>
      <c r="P8" s="6" t="str">
        <f t="shared" si="5"/>
        <v/>
      </c>
      <c r="Q8" s="3"/>
    </row>
    <row r="9" spans="1:17" x14ac:dyDescent="0.2">
      <c r="A9" s="2" t="str">
        <f t="shared" si="0"/>
        <v/>
      </c>
      <c r="B9" s="3"/>
      <c r="C9" s="4"/>
      <c r="D9" s="5"/>
      <c r="E9" s="6" t="str">
        <f t="shared" si="1"/>
        <v/>
      </c>
      <c r="F9" s="7"/>
      <c r="G9" s="20"/>
      <c r="H9" s="21"/>
      <c r="I9" s="21"/>
      <c r="J9" s="23" t="str">
        <f t="shared" si="2"/>
        <v/>
      </c>
      <c r="K9" s="24"/>
      <c r="L9" s="4"/>
      <c r="M9" s="5"/>
      <c r="N9" s="2" t="str">
        <f t="shared" ca="1" si="3"/>
        <v/>
      </c>
      <c r="O9" s="6" t="str">
        <f t="shared" si="4"/>
        <v/>
      </c>
      <c r="P9" s="6" t="str">
        <f t="shared" si="5"/>
        <v/>
      </c>
      <c r="Q9" s="3"/>
    </row>
    <row r="10" spans="1:17" x14ac:dyDescent="0.2">
      <c r="A10" s="2" t="str">
        <f t="shared" si="0"/>
        <v/>
      </c>
      <c r="B10" s="3"/>
      <c r="C10" s="4"/>
      <c r="D10" s="5"/>
      <c r="E10" s="6" t="str">
        <f t="shared" si="1"/>
        <v/>
      </c>
      <c r="F10" s="7"/>
      <c r="G10" s="20"/>
      <c r="H10" s="21"/>
      <c r="I10" s="21"/>
      <c r="J10" s="23" t="str">
        <f t="shared" si="2"/>
        <v/>
      </c>
      <c r="K10" s="24"/>
      <c r="L10" s="4"/>
      <c r="M10" s="5"/>
      <c r="N10" s="2" t="str">
        <f t="shared" ca="1" si="3"/>
        <v/>
      </c>
      <c r="O10" s="6" t="str">
        <f t="shared" si="4"/>
        <v/>
      </c>
      <c r="P10" s="6" t="str">
        <f t="shared" si="5"/>
        <v/>
      </c>
      <c r="Q10" s="3"/>
    </row>
    <row r="11" spans="1:17" x14ac:dyDescent="0.2">
      <c r="A11" s="2" t="str">
        <f t="shared" si="0"/>
        <v/>
      </c>
      <c r="B11" s="3"/>
      <c r="C11" s="4"/>
      <c r="D11" s="5"/>
      <c r="E11" s="6" t="str">
        <f t="shared" si="1"/>
        <v/>
      </c>
      <c r="F11" s="7"/>
      <c r="G11" s="20"/>
      <c r="H11" s="21"/>
      <c r="I11" s="21"/>
      <c r="J11" s="23" t="str">
        <f t="shared" si="2"/>
        <v/>
      </c>
      <c r="K11" s="24"/>
      <c r="L11" s="4"/>
      <c r="M11" s="5"/>
      <c r="N11" s="2" t="str">
        <f t="shared" ca="1" si="3"/>
        <v/>
      </c>
      <c r="O11" s="6" t="str">
        <f t="shared" si="4"/>
        <v/>
      </c>
      <c r="P11" s="6" t="str">
        <f t="shared" si="5"/>
        <v/>
      </c>
      <c r="Q11" s="3"/>
    </row>
    <row r="12" spans="1:17" x14ac:dyDescent="0.2">
      <c r="A12" s="2" t="str">
        <f t="shared" si="0"/>
        <v/>
      </c>
      <c r="B12" s="3"/>
      <c r="C12" s="4"/>
      <c r="D12" s="5"/>
      <c r="E12" s="6" t="str">
        <f t="shared" si="1"/>
        <v/>
      </c>
      <c r="F12" s="7"/>
      <c r="G12" s="20"/>
      <c r="H12" s="21"/>
      <c r="I12" s="21"/>
      <c r="J12" s="23" t="str">
        <f t="shared" si="2"/>
        <v/>
      </c>
      <c r="K12" s="24"/>
      <c r="L12" s="4"/>
      <c r="M12" s="5"/>
      <c r="N12" s="2" t="str">
        <f t="shared" ca="1" si="3"/>
        <v/>
      </c>
      <c r="O12" s="6" t="str">
        <f t="shared" si="4"/>
        <v/>
      </c>
      <c r="P12" s="6" t="str">
        <f t="shared" si="5"/>
        <v/>
      </c>
      <c r="Q12" s="3"/>
    </row>
    <row r="13" spans="1:17" x14ac:dyDescent="0.2">
      <c r="A13" s="2" t="str">
        <f t="shared" si="0"/>
        <v/>
      </c>
      <c r="B13" s="3"/>
      <c r="C13" s="4"/>
      <c r="D13" s="5"/>
      <c r="E13" s="6" t="str">
        <f t="shared" si="1"/>
        <v/>
      </c>
      <c r="F13" s="7"/>
      <c r="G13" s="20"/>
      <c r="H13" s="21"/>
      <c r="I13" s="21"/>
      <c r="J13" s="23" t="str">
        <f t="shared" si="2"/>
        <v/>
      </c>
      <c r="K13" s="24"/>
      <c r="L13" s="4"/>
      <c r="M13" s="5"/>
      <c r="N13" s="2" t="str">
        <f t="shared" ca="1" si="3"/>
        <v/>
      </c>
      <c r="O13" s="6" t="str">
        <f t="shared" si="4"/>
        <v/>
      </c>
      <c r="P13" s="6" t="str">
        <f t="shared" si="5"/>
        <v/>
      </c>
      <c r="Q13" s="3"/>
    </row>
    <row r="14" spans="1:17" x14ac:dyDescent="0.2">
      <c r="A14" s="2" t="str">
        <f t="shared" si="0"/>
        <v/>
      </c>
      <c r="B14" s="3"/>
      <c r="C14" s="4"/>
      <c r="D14" s="5"/>
      <c r="E14" s="6" t="str">
        <f t="shared" si="1"/>
        <v/>
      </c>
      <c r="F14" s="7"/>
      <c r="G14" s="20"/>
      <c r="H14" s="21"/>
      <c r="I14" s="21"/>
      <c r="J14" s="23" t="str">
        <f t="shared" si="2"/>
        <v/>
      </c>
      <c r="K14" s="24"/>
      <c r="L14" s="4"/>
      <c r="M14" s="5"/>
      <c r="N14" s="2" t="str">
        <f t="shared" ca="1" si="3"/>
        <v/>
      </c>
      <c r="O14" s="6" t="str">
        <f t="shared" si="4"/>
        <v/>
      </c>
      <c r="P14" s="6" t="str">
        <f t="shared" si="5"/>
        <v/>
      </c>
      <c r="Q14" s="3"/>
    </row>
    <row r="15" spans="1:17" x14ac:dyDescent="0.2">
      <c r="A15" s="2" t="str">
        <f t="shared" si="0"/>
        <v/>
      </c>
      <c r="B15" s="3"/>
      <c r="C15" s="4"/>
      <c r="D15" s="5"/>
      <c r="E15" s="6" t="str">
        <f t="shared" si="1"/>
        <v/>
      </c>
      <c r="F15" s="7"/>
      <c r="G15" s="20"/>
      <c r="H15" s="21"/>
      <c r="I15" s="21"/>
      <c r="J15" s="23" t="str">
        <f t="shared" si="2"/>
        <v/>
      </c>
      <c r="K15" s="24"/>
      <c r="L15" s="4"/>
      <c r="M15" s="5"/>
      <c r="N15" s="2" t="str">
        <f t="shared" ca="1" si="3"/>
        <v/>
      </c>
      <c r="O15" s="6" t="str">
        <f t="shared" si="4"/>
        <v/>
      </c>
      <c r="P15" s="6" t="str">
        <f t="shared" si="5"/>
        <v/>
      </c>
      <c r="Q15" s="3"/>
    </row>
    <row r="16" spans="1:17" x14ac:dyDescent="0.2">
      <c r="A16" s="2" t="str">
        <f t="shared" si="0"/>
        <v/>
      </c>
      <c r="B16" s="3"/>
      <c r="C16" s="4"/>
      <c r="D16" s="5"/>
      <c r="E16" s="6" t="str">
        <f t="shared" si="1"/>
        <v/>
      </c>
      <c r="F16" s="7"/>
      <c r="G16" s="20"/>
      <c r="H16" s="21"/>
      <c r="I16" s="21"/>
      <c r="J16" s="23" t="str">
        <f t="shared" si="2"/>
        <v/>
      </c>
      <c r="K16" s="24"/>
      <c r="L16" s="4"/>
      <c r="M16" s="5"/>
      <c r="N16" s="2" t="str">
        <f t="shared" ca="1" si="3"/>
        <v/>
      </c>
      <c r="O16" s="6" t="str">
        <f t="shared" si="4"/>
        <v/>
      </c>
      <c r="P16" s="6" t="str">
        <f t="shared" si="5"/>
        <v/>
      </c>
      <c r="Q16" s="3"/>
    </row>
    <row r="17" spans="1:17" x14ac:dyDescent="0.2">
      <c r="A17" s="2" t="str">
        <f t="shared" si="0"/>
        <v/>
      </c>
      <c r="B17" s="3"/>
      <c r="C17" s="4"/>
      <c r="D17" s="5"/>
      <c r="E17" s="6" t="str">
        <f t="shared" si="1"/>
        <v/>
      </c>
      <c r="F17" s="7"/>
      <c r="G17" s="20"/>
      <c r="H17" s="21"/>
      <c r="I17" s="21"/>
      <c r="J17" s="23" t="str">
        <f t="shared" si="2"/>
        <v/>
      </c>
      <c r="K17" s="24"/>
      <c r="L17" s="4"/>
      <c r="M17" s="5"/>
      <c r="N17" s="2" t="str">
        <f t="shared" ca="1" si="3"/>
        <v/>
      </c>
      <c r="O17" s="6" t="str">
        <f t="shared" si="4"/>
        <v/>
      </c>
      <c r="P17" s="6" t="str">
        <f t="shared" si="5"/>
        <v/>
      </c>
      <c r="Q17" s="3"/>
    </row>
    <row r="18" spans="1:17" x14ac:dyDescent="0.2">
      <c r="A18" s="2" t="str">
        <f t="shared" si="0"/>
        <v/>
      </c>
      <c r="B18" s="3"/>
      <c r="C18" s="4"/>
      <c r="D18" s="5"/>
      <c r="E18" s="6" t="str">
        <f t="shared" si="1"/>
        <v/>
      </c>
      <c r="F18" s="7"/>
      <c r="G18" s="20"/>
      <c r="H18" s="21"/>
      <c r="I18" s="21"/>
      <c r="J18" s="23" t="str">
        <f t="shared" si="2"/>
        <v/>
      </c>
      <c r="K18" s="24"/>
      <c r="L18" s="4"/>
      <c r="M18" s="5"/>
      <c r="N18" s="2" t="str">
        <f t="shared" ca="1" si="3"/>
        <v/>
      </c>
      <c r="O18" s="6" t="str">
        <f t="shared" si="4"/>
        <v/>
      </c>
      <c r="P18" s="6" t="str">
        <f t="shared" si="5"/>
        <v/>
      </c>
      <c r="Q18" s="3"/>
    </row>
    <row r="19" spans="1:17" x14ac:dyDescent="0.2">
      <c r="A19" s="2" t="str">
        <f t="shared" si="0"/>
        <v/>
      </c>
      <c r="B19" s="3"/>
      <c r="C19" s="4"/>
      <c r="D19" s="5"/>
      <c r="E19" s="6" t="str">
        <f t="shared" si="1"/>
        <v/>
      </c>
      <c r="F19" s="7"/>
      <c r="G19" s="20"/>
      <c r="H19" s="21"/>
      <c r="I19" s="21"/>
      <c r="J19" s="23" t="str">
        <f t="shared" si="2"/>
        <v/>
      </c>
      <c r="K19" s="24"/>
      <c r="L19" s="4"/>
      <c r="M19" s="5"/>
      <c r="N19" s="2" t="str">
        <f t="shared" ca="1" si="3"/>
        <v/>
      </c>
      <c r="O19" s="6" t="str">
        <f t="shared" si="4"/>
        <v/>
      </c>
      <c r="P19" s="6" t="str">
        <f t="shared" si="5"/>
        <v/>
      </c>
      <c r="Q19" s="3"/>
    </row>
    <row r="20" spans="1:17" x14ac:dyDescent="0.2">
      <c r="A20" s="2" t="str">
        <f t="shared" si="0"/>
        <v/>
      </c>
      <c r="B20" s="3"/>
      <c r="C20" s="4"/>
      <c r="D20" s="5"/>
      <c r="E20" s="6" t="str">
        <f t="shared" si="1"/>
        <v/>
      </c>
      <c r="F20" s="7"/>
      <c r="G20" s="20"/>
      <c r="H20" s="21"/>
      <c r="I20" s="21"/>
      <c r="J20" s="23" t="str">
        <f t="shared" si="2"/>
        <v/>
      </c>
      <c r="K20" s="24"/>
      <c r="L20" s="4"/>
      <c r="M20" s="5"/>
      <c r="N20" s="2" t="str">
        <f t="shared" ca="1" si="3"/>
        <v/>
      </c>
      <c r="O20" s="6" t="str">
        <f t="shared" si="4"/>
        <v/>
      </c>
      <c r="P20" s="6" t="str">
        <f t="shared" si="5"/>
        <v/>
      </c>
      <c r="Q20" s="3"/>
    </row>
    <row r="21" spans="1:17" x14ac:dyDescent="0.2">
      <c r="A21" s="2" t="str">
        <f t="shared" si="0"/>
        <v/>
      </c>
      <c r="B21" s="3"/>
      <c r="C21" s="4"/>
      <c r="D21" s="5"/>
      <c r="E21" s="6" t="str">
        <f t="shared" si="1"/>
        <v/>
      </c>
      <c r="F21" s="7"/>
      <c r="G21" s="20"/>
      <c r="H21" s="21"/>
      <c r="I21" s="21"/>
      <c r="J21" s="23" t="str">
        <f t="shared" si="2"/>
        <v/>
      </c>
      <c r="K21" s="24"/>
      <c r="L21" s="4"/>
      <c r="M21" s="5"/>
      <c r="N21" s="2" t="str">
        <f t="shared" ca="1" si="3"/>
        <v/>
      </c>
      <c r="O21" s="6" t="str">
        <f t="shared" si="4"/>
        <v/>
      </c>
      <c r="P21" s="6" t="str">
        <f t="shared" si="5"/>
        <v/>
      </c>
      <c r="Q21" s="3"/>
    </row>
    <row r="22" spans="1:17" x14ac:dyDescent="0.2">
      <c r="A22" s="2" t="str">
        <f t="shared" si="0"/>
        <v/>
      </c>
      <c r="B22" s="3"/>
      <c r="C22" s="4"/>
      <c r="D22" s="5"/>
      <c r="E22" s="6" t="str">
        <f t="shared" si="1"/>
        <v/>
      </c>
      <c r="F22" s="7"/>
      <c r="G22" s="20"/>
      <c r="H22" s="21"/>
      <c r="I22" s="21"/>
      <c r="J22" s="23" t="str">
        <f t="shared" si="2"/>
        <v/>
      </c>
      <c r="K22" s="24"/>
      <c r="L22" s="4"/>
      <c r="M22" s="5"/>
      <c r="N22" s="2" t="str">
        <f t="shared" ca="1" si="3"/>
        <v/>
      </c>
      <c r="O22" s="6" t="str">
        <f t="shared" si="4"/>
        <v/>
      </c>
      <c r="P22" s="6" t="str">
        <f t="shared" si="5"/>
        <v/>
      </c>
      <c r="Q22" s="3"/>
    </row>
    <row r="23" spans="1:17" x14ac:dyDescent="0.2">
      <c r="A23" s="2" t="str">
        <f t="shared" si="0"/>
        <v/>
      </c>
      <c r="B23" s="3"/>
      <c r="C23" s="4"/>
      <c r="D23" s="5"/>
      <c r="E23" s="6" t="str">
        <f t="shared" si="1"/>
        <v/>
      </c>
      <c r="F23" s="7"/>
      <c r="G23" s="20"/>
      <c r="H23" s="21"/>
      <c r="I23" s="21"/>
      <c r="J23" s="23" t="str">
        <f t="shared" si="2"/>
        <v/>
      </c>
      <c r="K23" s="24"/>
      <c r="L23" s="4"/>
      <c r="M23" s="5"/>
      <c r="N23" s="2" t="str">
        <f t="shared" ca="1" si="3"/>
        <v/>
      </c>
      <c r="O23" s="6" t="str">
        <f t="shared" si="4"/>
        <v/>
      </c>
      <c r="P23" s="6" t="str">
        <f t="shared" si="5"/>
        <v/>
      </c>
      <c r="Q23" s="3"/>
    </row>
    <row r="24" spans="1:17" x14ac:dyDescent="0.2">
      <c r="A24" s="2" t="str">
        <f t="shared" si="0"/>
        <v/>
      </c>
      <c r="B24" s="3"/>
      <c r="C24" s="4"/>
      <c r="D24" s="5"/>
      <c r="E24" s="6" t="str">
        <f t="shared" si="1"/>
        <v/>
      </c>
      <c r="F24" s="7"/>
      <c r="G24" s="20"/>
      <c r="H24" s="21"/>
      <c r="I24" s="21"/>
      <c r="J24" s="23" t="str">
        <f t="shared" si="2"/>
        <v/>
      </c>
      <c r="K24" s="24"/>
      <c r="L24" s="4"/>
      <c r="M24" s="5"/>
      <c r="N24" s="2" t="str">
        <f t="shared" ca="1" si="3"/>
        <v/>
      </c>
      <c r="O24" s="6" t="str">
        <f t="shared" si="4"/>
        <v/>
      </c>
      <c r="P24" s="6" t="str">
        <f t="shared" si="5"/>
        <v/>
      </c>
      <c r="Q24" s="3"/>
    </row>
    <row r="25" spans="1:17" x14ac:dyDescent="0.2">
      <c r="A25" s="2" t="str">
        <f t="shared" si="0"/>
        <v/>
      </c>
      <c r="B25" s="3"/>
      <c r="C25" s="4"/>
      <c r="D25" s="5"/>
      <c r="E25" s="6" t="str">
        <f t="shared" si="1"/>
        <v/>
      </c>
      <c r="F25" s="7"/>
      <c r="G25" s="20"/>
      <c r="H25" s="21"/>
      <c r="I25" s="21"/>
      <c r="J25" s="23" t="str">
        <f t="shared" si="2"/>
        <v/>
      </c>
      <c r="K25" s="24"/>
      <c r="L25" s="4"/>
      <c r="M25" s="5"/>
      <c r="N25" s="2" t="str">
        <f t="shared" ca="1" si="3"/>
        <v/>
      </c>
      <c r="O25" s="6" t="str">
        <f t="shared" si="4"/>
        <v/>
      </c>
      <c r="P25" s="6" t="str">
        <f t="shared" si="5"/>
        <v/>
      </c>
      <c r="Q25" s="3"/>
    </row>
    <row r="26" spans="1:17" x14ac:dyDescent="0.2">
      <c r="A26" s="2" t="str">
        <f t="shared" si="0"/>
        <v/>
      </c>
      <c r="B26" s="3"/>
      <c r="C26" s="4"/>
      <c r="D26" s="5"/>
      <c r="E26" s="6" t="str">
        <f t="shared" si="1"/>
        <v/>
      </c>
      <c r="F26" s="7"/>
      <c r="G26" s="20"/>
      <c r="H26" s="21"/>
      <c r="I26" s="21"/>
      <c r="J26" s="23" t="str">
        <f t="shared" si="2"/>
        <v/>
      </c>
      <c r="K26" s="24"/>
      <c r="L26" s="4"/>
      <c r="M26" s="5"/>
      <c r="N26" s="2" t="str">
        <f t="shared" ca="1" si="3"/>
        <v/>
      </c>
      <c r="O26" s="6" t="str">
        <f t="shared" si="4"/>
        <v/>
      </c>
      <c r="P26" s="6" t="str">
        <f t="shared" si="5"/>
        <v/>
      </c>
      <c r="Q26" s="3"/>
    </row>
    <row r="27" spans="1:17" x14ac:dyDescent="0.2">
      <c r="A27" s="2" t="str">
        <f t="shared" si="0"/>
        <v/>
      </c>
      <c r="B27" s="3"/>
      <c r="C27" s="4"/>
      <c r="D27" s="5"/>
      <c r="E27" s="6" t="str">
        <f t="shared" si="1"/>
        <v/>
      </c>
      <c r="F27" s="7"/>
      <c r="G27" s="20"/>
      <c r="H27" s="21"/>
      <c r="I27" s="21"/>
      <c r="J27" s="23" t="str">
        <f t="shared" si="2"/>
        <v/>
      </c>
      <c r="K27" s="24"/>
      <c r="L27" s="4"/>
      <c r="M27" s="5"/>
      <c r="N27" s="2" t="str">
        <f t="shared" ca="1" si="3"/>
        <v/>
      </c>
      <c r="O27" s="6" t="str">
        <f t="shared" si="4"/>
        <v/>
      </c>
      <c r="P27" s="6" t="str">
        <f t="shared" si="5"/>
        <v/>
      </c>
      <c r="Q27" s="3"/>
    </row>
    <row r="28" spans="1:17" x14ac:dyDescent="0.2">
      <c r="A28" s="2" t="str">
        <f t="shared" si="0"/>
        <v/>
      </c>
      <c r="B28" s="3"/>
      <c r="C28" s="4"/>
      <c r="D28" s="5"/>
      <c r="E28" s="6" t="str">
        <f t="shared" si="1"/>
        <v/>
      </c>
      <c r="F28" s="7"/>
      <c r="G28" s="20"/>
      <c r="H28" s="21"/>
      <c r="I28" s="21"/>
      <c r="J28" s="23" t="str">
        <f t="shared" si="2"/>
        <v/>
      </c>
      <c r="K28" s="24"/>
      <c r="L28" s="4"/>
      <c r="M28" s="5"/>
      <c r="N28" s="2" t="str">
        <f t="shared" ca="1" si="3"/>
        <v/>
      </c>
      <c r="O28" s="6" t="str">
        <f t="shared" si="4"/>
        <v/>
      </c>
      <c r="P28" s="6" t="str">
        <f t="shared" si="5"/>
        <v/>
      </c>
      <c r="Q28" s="3"/>
    </row>
    <row r="29" spans="1:17" x14ac:dyDescent="0.2">
      <c r="A29" s="2" t="str">
        <f t="shared" si="0"/>
        <v/>
      </c>
      <c r="B29" s="3"/>
      <c r="C29" s="4"/>
      <c r="D29" s="5"/>
      <c r="E29" s="6" t="str">
        <f t="shared" si="1"/>
        <v/>
      </c>
      <c r="F29" s="7"/>
      <c r="G29" s="20"/>
      <c r="H29" s="21"/>
      <c r="I29" s="21"/>
      <c r="J29" s="23" t="str">
        <f t="shared" si="2"/>
        <v/>
      </c>
      <c r="K29" s="24"/>
      <c r="L29" s="4"/>
      <c r="M29" s="5"/>
      <c r="N29" s="2" t="str">
        <f t="shared" ca="1" si="3"/>
        <v/>
      </c>
      <c r="O29" s="6" t="str">
        <f t="shared" si="4"/>
        <v/>
      </c>
      <c r="P29" s="6" t="str">
        <f t="shared" si="5"/>
        <v/>
      </c>
      <c r="Q29" s="3"/>
    </row>
    <row r="30" spans="1:17" x14ac:dyDescent="0.2">
      <c r="A30" s="2" t="str">
        <f t="shared" si="0"/>
        <v/>
      </c>
      <c r="B30" s="3"/>
      <c r="C30" s="4"/>
      <c r="D30" s="5"/>
      <c r="E30" s="6" t="str">
        <f t="shared" si="1"/>
        <v/>
      </c>
      <c r="F30" s="7"/>
      <c r="G30" s="20"/>
      <c r="H30" s="21"/>
      <c r="I30" s="21"/>
      <c r="J30" s="23" t="str">
        <f t="shared" si="2"/>
        <v/>
      </c>
      <c r="K30" s="24"/>
      <c r="L30" s="4"/>
      <c r="M30" s="5"/>
      <c r="N30" s="2" t="str">
        <f t="shared" ca="1" si="3"/>
        <v/>
      </c>
      <c r="O30" s="6" t="str">
        <f t="shared" si="4"/>
        <v/>
      </c>
      <c r="P30" s="6" t="str">
        <f t="shared" si="5"/>
        <v/>
      </c>
      <c r="Q30" s="3"/>
    </row>
    <row r="31" spans="1:17" x14ac:dyDescent="0.2">
      <c r="A31" s="2" t="str">
        <f t="shared" si="0"/>
        <v/>
      </c>
      <c r="B31" s="3"/>
      <c r="C31" s="4"/>
      <c r="D31" s="5"/>
      <c r="E31" s="6" t="str">
        <f t="shared" si="1"/>
        <v/>
      </c>
      <c r="F31" s="7"/>
      <c r="G31" s="20"/>
      <c r="H31" s="21"/>
      <c r="I31" s="21"/>
      <c r="J31" s="23" t="str">
        <f t="shared" si="2"/>
        <v/>
      </c>
      <c r="K31" s="24"/>
      <c r="L31" s="4"/>
      <c r="M31" s="5"/>
      <c r="N31" s="2" t="str">
        <f t="shared" ca="1" si="3"/>
        <v/>
      </c>
      <c r="O31" s="6" t="str">
        <f t="shared" si="4"/>
        <v/>
      </c>
      <c r="P31" s="6" t="str">
        <f t="shared" si="5"/>
        <v/>
      </c>
      <c r="Q31" s="3"/>
    </row>
    <row r="32" spans="1:17" x14ac:dyDescent="0.2">
      <c r="A32" s="2" t="str">
        <f t="shared" si="0"/>
        <v/>
      </c>
      <c r="B32" s="3"/>
      <c r="C32" s="4"/>
      <c r="D32" s="5"/>
      <c r="E32" s="6" t="str">
        <f t="shared" si="1"/>
        <v/>
      </c>
      <c r="F32" s="7"/>
      <c r="G32" s="20"/>
      <c r="H32" s="21"/>
      <c r="I32" s="21"/>
      <c r="J32" s="23" t="str">
        <f t="shared" si="2"/>
        <v/>
      </c>
      <c r="K32" s="24"/>
      <c r="L32" s="4"/>
      <c r="M32" s="5"/>
      <c r="N32" s="2" t="str">
        <f t="shared" ca="1" si="3"/>
        <v/>
      </c>
      <c r="O32" s="6" t="str">
        <f t="shared" si="4"/>
        <v/>
      </c>
      <c r="P32" s="6" t="str">
        <f t="shared" si="5"/>
        <v/>
      </c>
      <c r="Q32" s="3"/>
    </row>
    <row r="33" spans="1:17" x14ac:dyDescent="0.2">
      <c r="A33" s="2" t="str">
        <f t="shared" si="0"/>
        <v/>
      </c>
      <c r="B33" s="3"/>
      <c r="C33" s="4"/>
      <c r="D33" s="5"/>
      <c r="E33" s="6" t="str">
        <f t="shared" si="1"/>
        <v/>
      </c>
      <c r="F33" s="7"/>
      <c r="G33" s="20"/>
      <c r="H33" s="21"/>
      <c r="I33" s="21"/>
      <c r="J33" s="23" t="str">
        <f t="shared" si="2"/>
        <v/>
      </c>
      <c r="K33" s="24"/>
      <c r="L33" s="4"/>
      <c r="M33" s="5"/>
      <c r="N33" s="2" t="str">
        <f t="shared" ca="1" si="3"/>
        <v/>
      </c>
      <c r="O33" s="6" t="str">
        <f t="shared" si="4"/>
        <v/>
      </c>
      <c r="P33" s="6" t="str">
        <f t="shared" si="5"/>
        <v/>
      </c>
      <c r="Q33" s="3"/>
    </row>
    <row r="34" spans="1:17" x14ac:dyDescent="0.2">
      <c r="A34" s="2" t="str">
        <f t="shared" si="0"/>
        <v/>
      </c>
      <c r="B34" s="3"/>
      <c r="C34" s="4"/>
      <c r="D34" s="5"/>
      <c r="E34" s="6" t="str">
        <f t="shared" si="1"/>
        <v/>
      </c>
      <c r="F34" s="7"/>
      <c r="G34" s="20"/>
      <c r="H34" s="21"/>
      <c r="I34" s="21"/>
      <c r="J34" s="23" t="str">
        <f t="shared" si="2"/>
        <v/>
      </c>
      <c r="K34" s="24"/>
      <c r="L34" s="4"/>
      <c r="M34" s="5"/>
      <c r="N34" s="2" t="str">
        <f t="shared" ca="1" si="3"/>
        <v/>
      </c>
      <c r="O34" s="6" t="str">
        <f t="shared" si="4"/>
        <v/>
      </c>
      <c r="P34" s="6" t="str">
        <f t="shared" si="5"/>
        <v/>
      </c>
      <c r="Q34" s="3"/>
    </row>
    <row r="35" spans="1:17" x14ac:dyDescent="0.2">
      <c r="A35" s="2" t="str">
        <f t="shared" si="0"/>
        <v/>
      </c>
      <c r="B35" s="3"/>
      <c r="C35" s="4"/>
      <c r="D35" s="5"/>
      <c r="E35" s="6" t="str">
        <f t="shared" si="1"/>
        <v/>
      </c>
      <c r="F35" s="7"/>
      <c r="G35" s="20"/>
      <c r="H35" s="21"/>
      <c r="I35" s="21"/>
      <c r="J35" s="23" t="str">
        <f t="shared" si="2"/>
        <v/>
      </c>
      <c r="K35" s="24"/>
      <c r="L35" s="4"/>
      <c r="M35" s="5"/>
      <c r="N35" s="2" t="str">
        <f t="shared" ca="1" si="3"/>
        <v/>
      </c>
      <c r="O35" s="6" t="str">
        <f t="shared" si="4"/>
        <v/>
      </c>
      <c r="P35" s="6" t="str">
        <f t="shared" si="5"/>
        <v/>
      </c>
      <c r="Q35" s="3"/>
    </row>
    <row r="36" spans="1:17" x14ac:dyDescent="0.2">
      <c r="A36" s="2" t="str">
        <f t="shared" ref="A36:A67" si="6">IF(B36="","",ROW()-3)</f>
        <v/>
      </c>
      <c r="B36" s="3"/>
      <c r="C36" s="4"/>
      <c r="D36" s="5"/>
      <c r="E36" s="6" t="str">
        <f t="shared" ref="E36:E67" si="7">IF(C36="","",C36*1.35)</f>
        <v/>
      </c>
      <c r="F36" s="7"/>
      <c r="G36" s="20"/>
      <c r="H36" s="21"/>
      <c r="I36" s="21"/>
      <c r="J36" s="23" t="str">
        <f t="shared" ref="J36:J67" si="8">IF(OR(I36="",H36=""),"",MAX(0,I36-H36))</f>
        <v/>
      </c>
      <c r="K36" s="24"/>
      <c r="L36" s="4"/>
      <c r="M36" s="5"/>
      <c r="N36" s="2" t="str">
        <f t="shared" ref="N36:N67" ca="1" si="9">IF(D36="","",IF(M36&lt;&gt;"",IF(M36-D36&gt;=2,"Đủ","Chưa"),IF(NOW()-D36&gt;=2,"Đủ","Chưa")))</f>
        <v/>
      </c>
      <c r="O36" s="6" t="str">
        <f t="shared" ref="O36:O67" si="10">IF(L36="","",L36*0.06)</f>
        <v/>
      </c>
      <c r="P36" s="6" t="str">
        <f t="shared" ref="P36:P67" si="11">IF(OR(L36="",C36=""),"",L36*0.94-C36)</f>
        <v/>
      </c>
      <c r="Q36" s="3"/>
    </row>
    <row r="37" spans="1:17" x14ac:dyDescent="0.2">
      <c r="A37" s="2" t="str">
        <f t="shared" si="6"/>
        <v/>
      </c>
      <c r="B37" s="3"/>
      <c r="C37" s="4"/>
      <c r="D37" s="5"/>
      <c r="E37" s="6" t="str">
        <f t="shared" si="7"/>
        <v/>
      </c>
      <c r="F37" s="7"/>
      <c r="G37" s="20"/>
      <c r="H37" s="21"/>
      <c r="I37" s="21"/>
      <c r="J37" s="23" t="str">
        <f t="shared" si="8"/>
        <v/>
      </c>
      <c r="K37" s="24"/>
      <c r="L37" s="4"/>
      <c r="M37" s="5"/>
      <c r="N37" s="2" t="str">
        <f t="shared" ca="1" si="9"/>
        <v/>
      </c>
      <c r="O37" s="6" t="str">
        <f t="shared" si="10"/>
        <v/>
      </c>
      <c r="P37" s="6" t="str">
        <f t="shared" si="11"/>
        <v/>
      </c>
      <c r="Q37" s="3"/>
    </row>
    <row r="38" spans="1:17" x14ac:dyDescent="0.2">
      <c r="A38" s="2" t="str">
        <f t="shared" si="6"/>
        <v/>
      </c>
      <c r="B38" s="3"/>
      <c r="C38" s="4"/>
      <c r="D38" s="5"/>
      <c r="E38" s="6" t="str">
        <f t="shared" si="7"/>
        <v/>
      </c>
      <c r="F38" s="7"/>
      <c r="G38" s="20"/>
      <c r="H38" s="21"/>
      <c r="I38" s="21"/>
      <c r="J38" s="23" t="str">
        <f t="shared" si="8"/>
        <v/>
      </c>
      <c r="K38" s="24"/>
      <c r="L38" s="4"/>
      <c r="M38" s="5"/>
      <c r="N38" s="2" t="str">
        <f t="shared" ca="1" si="9"/>
        <v/>
      </c>
      <c r="O38" s="6" t="str">
        <f t="shared" si="10"/>
        <v/>
      </c>
      <c r="P38" s="6" t="str">
        <f t="shared" si="11"/>
        <v/>
      </c>
      <c r="Q38" s="3"/>
    </row>
    <row r="39" spans="1:17" x14ac:dyDescent="0.2">
      <c r="A39" s="2" t="str">
        <f t="shared" si="6"/>
        <v/>
      </c>
      <c r="B39" s="3"/>
      <c r="C39" s="4"/>
      <c r="D39" s="5"/>
      <c r="E39" s="6" t="str">
        <f t="shared" si="7"/>
        <v/>
      </c>
      <c r="F39" s="7"/>
      <c r="G39" s="20"/>
      <c r="H39" s="21"/>
      <c r="I39" s="21"/>
      <c r="J39" s="23" t="str">
        <f t="shared" si="8"/>
        <v/>
      </c>
      <c r="K39" s="24"/>
      <c r="L39" s="4"/>
      <c r="M39" s="5"/>
      <c r="N39" s="2" t="str">
        <f t="shared" ca="1" si="9"/>
        <v/>
      </c>
      <c r="O39" s="6" t="str">
        <f t="shared" si="10"/>
        <v/>
      </c>
      <c r="P39" s="6" t="str">
        <f t="shared" si="11"/>
        <v/>
      </c>
      <c r="Q39" s="3"/>
    </row>
    <row r="40" spans="1:17" x14ac:dyDescent="0.2">
      <c r="A40" s="2" t="str">
        <f t="shared" si="6"/>
        <v/>
      </c>
      <c r="B40" s="3"/>
      <c r="C40" s="4"/>
      <c r="D40" s="5"/>
      <c r="E40" s="6" t="str">
        <f t="shared" si="7"/>
        <v/>
      </c>
      <c r="F40" s="7"/>
      <c r="G40" s="20"/>
      <c r="H40" s="21"/>
      <c r="I40" s="21"/>
      <c r="J40" s="23" t="str">
        <f t="shared" si="8"/>
        <v/>
      </c>
      <c r="K40" s="24"/>
      <c r="L40" s="4"/>
      <c r="M40" s="5"/>
      <c r="N40" s="2" t="str">
        <f t="shared" ca="1" si="9"/>
        <v/>
      </c>
      <c r="O40" s="6" t="str">
        <f t="shared" si="10"/>
        <v/>
      </c>
      <c r="P40" s="6" t="str">
        <f t="shared" si="11"/>
        <v/>
      </c>
      <c r="Q40" s="3"/>
    </row>
    <row r="41" spans="1:17" x14ac:dyDescent="0.2">
      <c r="A41" s="2" t="str">
        <f t="shared" si="6"/>
        <v/>
      </c>
      <c r="B41" s="3"/>
      <c r="C41" s="4"/>
      <c r="D41" s="5"/>
      <c r="E41" s="6" t="str">
        <f t="shared" si="7"/>
        <v/>
      </c>
      <c r="F41" s="7"/>
      <c r="G41" s="20"/>
      <c r="H41" s="21"/>
      <c r="I41" s="21"/>
      <c r="J41" s="23" t="str">
        <f t="shared" si="8"/>
        <v/>
      </c>
      <c r="K41" s="24"/>
      <c r="L41" s="4"/>
      <c r="M41" s="5"/>
      <c r="N41" s="2" t="str">
        <f t="shared" ca="1" si="9"/>
        <v/>
      </c>
      <c r="O41" s="6" t="str">
        <f t="shared" si="10"/>
        <v/>
      </c>
      <c r="P41" s="6" t="str">
        <f t="shared" si="11"/>
        <v/>
      </c>
      <c r="Q41" s="3"/>
    </row>
    <row r="42" spans="1:17" x14ac:dyDescent="0.2">
      <c r="A42" s="2" t="str">
        <f t="shared" si="6"/>
        <v/>
      </c>
      <c r="B42" s="3"/>
      <c r="C42" s="4"/>
      <c r="D42" s="5"/>
      <c r="E42" s="6" t="str">
        <f t="shared" si="7"/>
        <v/>
      </c>
      <c r="F42" s="7"/>
      <c r="G42" s="20"/>
      <c r="H42" s="21"/>
      <c r="I42" s="21"/>
      <c r="J42" s="23" t="str">
        <f t="shared" si="8"/>
        <v/>
      </c>
      <c r="K42" s="24"/>
      <c r="L42" s="4"/>
      <c r="M42" s="5"/>
      <c r="N42" s="2" t="str">
        <f t="shared" ca="1" si="9"/>
        <v/>
      </c>
      <c r="O42" s="6" t="str">
        <f t="shared" si="10"/>
        <v/>
      </c>
      <c r="P42" s="6" t="str">
        <f t="shared" si="11"/>
        <v/>
      </c>
      <c r="Q42" s="3"/>
    </row>
    <row r="43" spans="1:17" x14ac:dyDescent="0.2">
      <c r="A43" s="2" t="str">
        <f t="shared" si="6"/>
        <v/>
      </c>
      <c r="B43" s="3"/>
      <c r="C43" s="4"/>
      <c r="D43" s="5"/>
      <c r="E43" s="6" t="str">
        <f t="shared" si="7"/>
        <v/>
      </c>
      <c r="F43" s="7"/>
      <c r="G43" s="20"/>
      <c r="H43" s="21"/>
      <c r="I43" s="21"/>
      <c r="J43" s="23" t="str">
        <f t="shared" si="8"/>
        <v/>
      </c>
      <c r="K43" s="24"/>
      <c r="L43" s="4"/>
      <c r="M43" s="5"/>
      <c r="N43" s="2" t="str">
        <f t="shared" ca="1" si="9"/>
        <v/>
      </c>
      <c r="O43" s="6" t="str">
        <f t="shared" si="10"/>
        <v/>
      </c>
      <c r="P43" s="6" t="str">
        <f t="shared" si="11"/>
        <v/>
      </c>
      <c r="Q43" s="3"/>
    </row>
    <row r="44" spans="1:17" x14ac:dyDescent="0.2">
      <c r="A44" s="2" t="str">
        <f t="shared" si="6"/>
        <v/>
      </c>
      <c r="B44" s="3"/>
      <c r="C44" s="4"/>
      <c r="D44" s="5"/>
      <c r="E44" s="6" t="str">
        <f t="shared" si="7"/>
        <v/>
      </c>
      <c r="F44" s="7"/>
      <c r="G44" s="20"/>
      <c r="H44" s="21"/>
      <c r="I44" s="21"/>
      <c r="J44" s="23" t="str">
        <f t="shared" si="8"/>
        <v/>
      </c>
      <c r="K44" s="24"/>
      <c r="L44" s="4"/>
      <c r="M44" s="5"/>
      <c r="N44" s="2" t="str">
        <f t="shared" ca="1" si="9"/>
        <v/>
      </c>
      <c r="O44" s="6" t="str">
        <f t="shared" si="10"/>
        <v/>
      </c>
      <c r="P44" s="6" t="str">
        <f t="shared" si="11"/>
        <v/>
      </c>
      <c r="Q44" s="3"/>
    </row>
    <row r="45" spans="1:17" x14ac:dyDescent="0.2">
      <c r="A45" s="2" t="str">
        <f t="shared" si="6"/>
        <v/>
      </c>
      <c r="B45" s="3"/>
      <c r="C45" s="4"/>
      <c r="D45" s="5"/>
      <c r="E45" s="6" t="str">
        <f t="shared" si="7"/>
        <v/>
      </c>
      <c r="F45" s="7"/>
      <c r="G45" s="20"/>
      <c r="H45" s="21"/>
      <c r="I45" s="21"/>
      <c r="J45" s="23" t="str">
        <f t="shared" si="8"/>
        <v/>
      </c>
      <c r="K45" s="24"/>
      <c r="L45" s="4"/>
      <c r="M45" s="5"/>
      <c r="N45" s="2" t="str">
        <f t="shared" ca="1" si="9"/>
        <v/>
      </c>
      <c r="O45" s="6" t="str">
        <f t="shared" si="10"/>
        <v/>
      </c>
      <c r="P45" s="6" t="str">
        <f t="shared" si="11"/>
        <v/>
      </c>
      <c r="Q45" s="3"/>
    </row>
    <row r="46" spans="1:17" x14ac:dyDescent="0.2">
      <c r="A46" s="2" t="str">
        <f t="shared" si="6"/>
        <v/>
      </c>
      <c r="B46" s="3"/>
      <c r="C46" s="4"/>
      <c r="D46" s="5"/>
      <c r="E46" s="6" t="str">
        <f t="shared" si="7"/>
        <v/>
      </c>
      <c r="F46" s="7"/>
      <c r="G46" s="20"/>
      <c r="H46" s="21"/>
      <c r="I46" s="21"/>
      <c r="J46" s="23" t="str">
        <f t="shared" si="8"/>
        <v/>
      </c>
      <c r="K46" s="24"/>
      <c r="L46" s="4"/>
      <c r="M46" s="5"/>
      <c r="N46" s="2" t="str">
        <f t="shared" ca="1" si="9"/>
        <v/>
      </c>
      <c r="O46" s="6" t="str">
        <f t="shared" si="10"/>
        <v/>
      </c>
      <c r="P46" s="6" t="str">
        <f t="shared" si="11"/>
        <v/>
      </c>
      <c r="Q46" s="3"/>
    </row>
    <row r="47" spans="1:17" x14ac:dyDescent="0.2">
      <c r="A47" s="2" t="str">
        <f t="shared" si="6"/>
        <v/>
      </c>
      <c r="B47" s="3"/>
      <c r="C47" s="4"/>
      <c r="D47" s="5"/>
      <c r="E47" s="6" t="str">
        <f t="shared" si="7"/>
        <v/>
      </c>
      <c r="F47" s="7"/>
      <c r="G47" s="20"/>
      <c r="H47" s="21"/>
      <c r="I47" s="21"/>
      <c r="J47" s="23" t="str">
        <f t="shared" si="8"/>
        <v/>
      </c>
      <c r="K47" s="24"/>
      <c r="L47" s="4"/>
      <c r="M47" s="5"/>
      <c r="N47" s="2" t="str">
        <f t="shared" ca="1" si="9"/>
        <v/>
      </c>
      <c r="O47" s="6" t="str">
        <f t="shared" si="10"/>
        <v/>
      </c>
      <c r="P47" s="6" t="str">
        <f t="shared" si="11"/>
        <v/>
      </c>
      <c r="Q47" s="3"/>
    </row>
    <row r="48" spans="1:17" x14ac:dyDescent="0.2">
      <c r="A48" s="2" t="str">
        <f t="shared" si="6"/>
        <v/>
      </c>
      <c r="B48" s="3"/>
      <c r="C48" s="4"/>
      <c r="D48" s="5"/>
      <c r="E48" s="6" t="str">
        <f t="shared" si="7"/>
        <v/>
      </c>
      <c r="F48" s="7"/>
      <c r="G48" s="20"/>
      <c r="H48" s="21"/>
      <c r="I48" s="21"/>
      <c r="J48" s="23" t="str">
        <f t="shared" si="8"/>
        <v/>
      </c>
      <c r="K48" s="24"/>
      <c r="L48" s="4"/>
      <c r="M48" s="5"/>
      <c r="N48" s="2" t="str">
        <f t="shared" ca="1" si="9"/>
        <v/>
      </c>
      <c r="O48" s="6" t="str">
        <f t="shared" si="10"/>
        <v/>
      </c>
      <c r="P48" s="6" t="str">
        <f t="shared" si="11"/>
        <v/>
      </c>
      <c r="Q48" s="3"/>
    </row>
    <row r="49" spans="1:17" x14ac:dyDescent="0.2">
      <c r="A49" s="2" t="str">
        <f t="shared" si="6"/>
        <v/>
      </c>
      <c r="B49" s="3"/>
      <c r="C49" s="4"/>
      <c r="D49" s="5"/>
      <c r="E49" s="6" t="str">
        <f t="shared" si="7"/>
        <v/>
      </c>
      <c r="F49" s="7"/>
      <c r="G49" s="20"/>
      <c r="H49" s="21"/>
      <c r="I49" s="21"/>
      <c r="J49" s="23" t="str">
        <f t="shared" si="8"/>
        <v/>
      </c>
      <c r="K49" s="24"/>
      <c r="L49" s="4"/>
      <c r="M49" s="5"/>
      <c r="N49" s="2" t="str">
        <f t="shared" ca="1" si="9"/>
        <v/>
      </c>
      <c r="O49" s="6" t="str">
        <f t="shared" si="10"/>
        <v/>
      </c>
      <c r="P49" s="6" t="str">
        <f t="shared" si="11"/>
        <v/>
      </c>
      <c r="Q49" s="3"/>
    </row>
    <row r="50" spans="1:17" x14ac:dyDescent="0.2">
      <c r="A50" s="2" t="str">
        <f t="shared" si="6"/>
        <v/>
      </c>
      <c r="B50" s="3"/>
      <c r="C50" s="4"/>
      <c r="D50" s="5"/>
      <c r="E50" s="6" t="str">
        <f t="shared" si="7"/>
        <v/>
      </c>
      <c r="F50" s="7"/>
      <c r="G50" s="20"/>
      <c r="H50" s="21"/>
      <c r="I50" s="21"/>
      <c r="J50" s="23" t="str">
        <f t="shared" si="8"/>
        <v/>
      </c>
      <c r="K50" s="24"/>
      <c r="L50" s="4"/>
      <c r="M50" s="5"/>
      <c r="N50" s="2" t="str">
        <f t="shared" ca="1" si="9"/>
        <v/>
      </c>
      <c r="O50" s="6" t="str">
        <f t="shared" si="10"/>
        <v/>
      </c>
      <c r="P50" s="6" t="str">
        <f t="shared" si="11"/>
        <v/>
      </c>
      <c r="Q50" s="3"/>
    </row>
    <row r="51" spans="1:17" x14ac:dyDescent="0.2">
      <c r="A51" s="2" t="str">
        <f t="shared" si="6"/>
        <v/>
      </c>
      <c r="B51" s="3"/>
      <c r="C51" s="4"/>
      <c r="D51" s="5"/>
      <c r="E51" s="6" t="str">
        <f t="shared" si="7"/>
        <v/>
      </c>
      <c r="F51" s="7"/>
      <c r="G51" s="20"/>
      <c r="H51" s="21"/>
      <c r="I51" s="21"/>
      <c r="J51" s="23" t="str">
        <f t="shared" si="8"/>
        <v/>
      </c>
      <c r="K51" s="24"/>
      <c r="L51" s="4"/>
      <c r="M51" s="5"/>
      <c r="N51" s="2" t="str">
        <f t="shared" ca="1" si="9"/>
        <v/>
      </c>
      <c r="O51" s="6" t="str">
        <f t="shared" si="10"/>
        <v/>
      </c>
      <c r="P51" s="6" t="str">
        <f t="shared" si="11"/>
        <v/>
      </c>
      <c r="Q51" s="3"/>
    </row>
    <row r="52" spans="1:17" x14ac:dyDescent="0.2">
      <c r="A52" s="2" t="str">
        <f t="shared" si="6"/>
        <v/>
      </c>
      <c r="B52" s="3"/>
      <c r="C52" s="4"/>
      <c r="D52" s="5"/>
      <c r="E52" s="6" t="str">
        <f t="shared" si="7"/>
        <v/>
      </c>
      <c r="F52" s="7"/>
      <c r="G52" s="20"/>
      <c r="H52" s="21"/>
      <c r="I52" s="21"/>
      <c r="J52" s="23" t="str">
        <f t="shared" si="8"/>
        <v/>
      </c>
      <c r="K52" s="24"/>
      <c r="L52" s="4"/>
      <c r="M52" s="5"/>
      <c r="N52" s="2" t="str">
        <f t="shared" ca="1" si="9"/>
        <v/>
      </c>
      <c r="O52" s="6" t="str">
        <f t="shared" si="10"/>
        <v/>
      </c>
      <c r="P52" s="6" t="str">
        <f t="shared" si="11"/>
        <v/>
      </c>
      <c r="Q52" s="3"/>
    </row>
    <row r="53" spans="1:17" x14ac:dyDescent="0.2">
      <c r="A53" s="2" t="str">
        <f t="shared" si="6"/>
        <v/>
      </c>
      <c r="B53" s="3"/>
      <c r="C53" s="4"/>
      <c r="D53" s="5"/>
      <c r="E53" s="6" t="str">
        <f t="shared" si="7"/>
        <v/>
      </c>
      <c r="F53" s="7"/>
      <c r="G53" s="20"/>
      <c r="H53" s="21"/>
      <c r="I53" s="21"/>
      <c r="J53" s="23" t="str">
        <f t="shared" si="8"/>
        <v/>
      </c>
      <c r="K53" s="24"/>
      <c r="L53" s="4"/>
      <c r="M53" s="5"/>
      <c r="N53" s="2" t="str">
        <f t="shared" ca="1" si="9"/>
        <v/>
      </c>
      <c r="O53" s="6" t="str">
        <f t="shared" si="10"/>
        <v/>
      </c>
      <c r="P53" s="6" t="str">
        <f t="shared" si="11"/>
        <v/>
      </c>
      <c r="Q53" s="3"/>
    </row>
    <row r="54" spans="1:17" x14ac:dyDescent="0.2">
      <c r="A54" s="2" t="str">
        <f t="shared" si="6"/>
        <v/>
      </c>
      <c r="B54" s="3"/>
      <c r="C54" s="4"/>
      <c r="D54" s="5"/>
      <c r="E54" s="6" t="str">
        <f t="shared" si="7"/>
        <v/>
      </c>
      <c r="F54" s="7"/>
      <c r="G54" s="20"/>
      <c r="H54" s="21"/>
      <c r="I54" s="21"/>
      <c r="J54" s="23" t="str">
        <f t="shared" si="8"/>
        <v/>
      </c>
      <c r="K54" s="24"/>
      <c r="L54" s="4"/>
      <c r="M54" s="5"/>
      <c r="N54" s="2" t="str">
        <f t="shared" ca="1" si="9"/>
        <v/>
      </c>
      <c r="O54" s="6" t="str">
        <f t="shared" si="10"/>
        <v/>
      </c>
      <c r="P54" s="6" t="str">
        <f t="shared" si="11"/>
        <v/>
      </c>
      <c r="Q54" s="3"/>
    </row>
    <row r="55" spans="1:17" x14ac:dyDescent="0.2">
      <c r="A55" s="2" t="str">
        <f t="shared" si="6"/>
        <v/>
      </c>
      <c r="B55" s="3"/>
      <c r="C55" s="4"/>
      <c r="D55" s="5"/>
      <c r="E55" s="6" t="str">
        <f t="shared" si="7"/>
        <v/>
      </c>
      <c r="F55" s="7"/>
      <c r="G55" s="20"/>
      <c r="H55" s="21"/>
      <c r="I55" s="21"/>
      <c r="J55" s="23" t="str">
        <f t="shared" si="8"/>
        <v/>
      </c>
      <c r="K55" s="24"/>
      <c r="L55" s="4"/>
      <c r="M55" s="5"/>
      <c r="N55" s="2" t="str">
        <f t="shared" ca="1" si="9"/>
        <v/>
      </c>
      <c r="O55" s="6" t="str">
        <f t="shared" si="10"/>
        <v/>
      </c>
      <c r="P55" s="6" t="str">
        <f t="shared" si="11"/>
        <v/>
      </c>
      <c r="Q55" s="3"/>
    </row>
    <row r="56" spans="1:17" x14ac:dyDescent="0.2">
      <c r="A56" s="2" t="str">
        <f t="shared" si="6"/>
        <v/>
      </c>
      <c r="B56" s="3"/>
      <c r="C56" s="4"/>
      <c r="D56" s="5"/>
      <c r="E56" s="6" t="str">
        <f t="shared" si="7"/>
        <v/>
      </c>
      <c r="F56" s="7"/>
      <c r="G56" s="20"/>
      <c r="H56" s="21"/>
      <c r="I56" s="21"/>
      <c r="J56" s="23" t="str">
        <f t="shared" si="8"/>
        <v/>
      </c>
      <c r="K56" s="24"/>
      <c r="L56" s="4"/>
      <c r="M56" s="5"/>
      <c r="N56" s="2" t="str">
        <f t="shared" ca="1" si="9"/>
        <v/>
      </c>
      <c r="O56" s="6" t="str">
        <f t="shared" si="10"/>
        <v/>
      </c>
      <c r="P56" s="6" t="str">
        <f t="shared" si="11"/>
        <v/>
      </c>
      <c r="Q56" s="3"/>
    </row>
    <row r="57" spans="1:17" x14ac:dyDescent="0.2">
      <c r="A57" s="2" t="str">
        <f t="shared" si="6"/>
        <v/>
      </c>
      <c r="B57" s="3"/>
      <c r="C57" s="4"/>
      <c r="D57" s="5"/>
      <c r="E57" s="6" t="str">
        <f t="shared" si="7"/>
        <v/>
      </c>
      <c r="F57" s="7"/>
      <c r="G57" s="20"/>
      <c r="H57" s="21"/>
      <c r="I57" s="21"/>
      <c r="J57" s="23" t="str">
        <f t="shared" si="8"/>
        <v/>
      </c>
      <c r="K57" s="24"/>
      <c r="L57" s="4"/>
      <c r="M57" s="5"/>
      <c r="N57" s="2" t="str">
        <f t="shared" ca="1" si="9"/>
        <v/>
      </c>
      <c r="O57" s="6" t="str">
        <f t="shared" si="10"/>
        <v/>
      </c>
      <c r="P57" s="6" t="str">
        <f t="shared" si="11"/>
        <v/>
      </c>
      <c r="Q57" s="3"/>
    </row>
    <row r="58" spans="1:17" x14ac:dyDescent="0.2">
      <c r="A58" s="2" t="str">
        <f t="shared" si="6"/>
        <v/>
      </c>
      <c r="B58" s="3"/>
      <c r="C58" s="4"/>
      <c r="D58" s="5"/>
      <c r="E58" s="6" t="str">
        <f t="shared" si="7"/>
        <v/>
      </c>
      <c r="F58" s="7"/>
      <c r="G58" s="20"/>
      <c r="H58" s="21"/>
      <c r="I58" s="21"/>
      <c r="J58" s="23" t="str">
        <f t="shared" si="8"/>
        <v/>
      </c>
      <c r="K58" s="24"/>
      <c r="L58" s="4"/>
      <c r="M58" s="5"/>
      <c r="N58" s="2" t="str">
        <f t="shared" ca="1" si="9"/>
        <v/>
      </c>
      <c r="O58" s="6" t="str">
        <f t="shared" si="10"/>
        <v/>
      </c>
      <c r="P58" s="6" t="str">
        <f t="shared" si="11"/>
        <v/>
      </c>
      <c r="Q58" s="3"/>
    </row>
    <row r="59" spans="1:17" x14ac:dyDescent="0.2">
      <c r="A59" s="2" t="str">
        <f t="shared" si="6"/>
        <v/>
      </c>
      <c r="B59" s="3"/>
      <c r="C59" s="4"/>
      <c r="D59" s="5"/>
      <c r="E59" s="6" t="str">
        <f t="shared" si="7"/>
        <v/>
      </c>
      <c r="F59" s="7"/>
      <c r="G59" s="20"/>
      <c r="H59" s="21"/>
      <c r="I59" s="21"/>
      <c r="J59" s="23" t="str">
        <f t="shared" si="8"/>
        <v/>
      </c>
      <c r="K59" s="24"/>
      <c r="L59" s="4"/>
      <c r="M59" s="5"/>
      <c r="N59" s="2" t="str">
        <f t="shared" ca="1" si="9"/>
        <v/>
      </c>
      <c r="O59" s="6" t="str">
        <f t="shared" si="10"/>
        <v/>
      </c>
      <c r="P59" s="6" t="str">
        <f t="shared" si="11"/>
        <v/>
      </c>
      <c r="Q59" s="3"/>
    </row>
    <row r="60" spans="1:17" x14ac:dyDescent="0.2">
      <c r="A60" s="2" t="str">
        <f t="shared" si="6"/>
        <v/>
      </c>
      <c r="B60" s="3"/>
      <c r="C60" s="4"/>
      <c r="D60" s="5"/>
      <c r="E60" s="6" t="str">
        <f t="shared" si="7"/>
        <v/>
      </c>
      <c r="F60" s="7"/>
      <c r="G60" s="20"/>
      <c r="H60" s="21"/>
      <c r="I60" s="21"/>
      <c r="J60" s="23" t="str">
        <f t="shared" si="8"/>
        <v/>
      </c>
      <c r="K60" s="24"/>
      <c r="L60" s="4"/>
      <c r="M60" s="5"/>
      <c r="N60" s="2" t="str">
        <f t="shared" ca="1" si="9"/>
        <v/>
      </c>
      <c r="O60" s="6" t="str">
        <f t="shared" si="10"/>
        <v/>
      </c>
      <c r="P60" s="6" t="str">
        <f t="shared" si="11"/>
        <v/>
      </c>
      <c r="Q60" s="3"/>
    </row>
    <row r="61" spans="1:17" x14ac:dyDescent="0.2">
      <c r="A61" s="2" t="str">
        <f t="shared" si="6"/>
        <v/>
      </c>
      <c r="B61" s="3"/>
      <c r="C61" s="4"/>
      <c r="D61" s="5"/>
      <c r="E61" s="6" t="str">
        <f t="shared" si="7"/>
        <v/>
      </c>
      <c r="F61" s="7"/>
      <c r="G61" s="20"/>
      <c r="H61" s="21"/>
      <c r="I61" s="21"/>
      <c r="J61" s="23" t="str">
        <f t="shared" si="8"/>
        <v/>
      </c>
      <c r="K61" s="24"/>
      <c r="L61" s="4"/>
      <c r="M61" s="5"/>
      <c r="N61" s="2" t="str">
        <f t="shared" ca="1" si="9"/>
        <v/>
      </c>
      <c r="O61" s="6" t="str">
        <f t="shared" si="10"/>
        <v/>
      </c>
      <c r="P61" s="6" t="str">
        <f t="shared" si="11"/>
        <v/>
      </c>
      <c r="Q61" s="3"/>
    </row>
    <row r="62" spans="1:17" x14ac:dyDescent="0.2">
      <c r="A62" s="2" t="str">
        <f t="shared" si="6"/>
        <v/>
      </c>
      <c r="B62" s="3"/>
      <c r="C62" s="4"/>
      <c r="D62" s="5"/>
      <c r="E62" s="6" t="str">
        <f t="shared" si="7"/>
        <v/>
      </c>
      <c r="F62" s="7"/>
      <c r="G62" s="20"/>
      <c r="H62" s="21"/>
      <c r="I62" s="21"/>
      <c r="J62" s="23" t="str">
        <f t="shared" si="8"/>
        <v/>
      </c>
      <c r="K62" s="24"/>
      <c r="L62" s="4"/>
      <c r="M62" s="5"/>
      <c r="N62" s="2" t="str">
        <f t="shared" ca="1" si="9"/>
        <v/>
      </c>
      <c r="O62" s="6" t="str">
        <f t="shared" si="10"/>
        <v/>
      </c>
      <c r="P62" s="6" t="str">
        <f t="shared" si="11"/>
        <v/>
      </c>
      <c r="Q62" s="3"/>
    </row>
    <row r="63" spans="1:17" x14ac:dyDescent="0.2">
      <c r="A63" s="2" t="str">
        <f t="shared" si="6"/>
        <v/>
      </c>
      <c r="B63" s="3"/>
      <c r="C63" s="4"/>
      <c r="D63" s="5"/>
      <c r="E63" s="6" t="str">
        <f t="shared" si="7"/>
        <v/>
      </c>
      <c r="F63" s="7"/>
      <c r="G63" s="20"/>
      <c r="H63" s="21"/>
      <c r="I63" s="21"/>
      <c r="J63" s="23" t="str">
        <f t="shared" si="8"/>
        <v/>
      </c>
      <c r="K63" s="24"/>
      <c r="L63" s="4"/>
      <c r="M63" s="5"/>
      <c r="N63" s="2" t="str">
        <f t="shared" ca="1" si="9"/>
        <v/>
      </c>
      <c r="O63" s="6" t="str">
        <f t="shared" si="10"/>
        <v/>
      </c>
      <c r="P63" s="6" t="str">
        <f t="shared" si="11"/>
        <v/>
      </c>
      <c r="Q63" s="3"/>
    </row>
    <row r="64" spans="1:17" x14ac:dyDescent="0.2">
      <c r="A64" s="2" t="str">
        <f t="shared" si="6"/>
        <v/>
      </c>
      <c r="B64" s="3"/>
      <c r="C64" s="4"/>
      <c r="D64" s="5"/>
      <c r="E64" s="6" t="str">
        <f t="shared" si="7"/>
        <v/>
      </c>
      <c r="F64" s="7"/>
      <c r="G64" s="20"/>
      <c r="H64" s="21"/>
      <c r="I64" s="21"/>
      <c r="J64" s="23" t="str">
        <f t="shared" si="8"/>
        <v/>
      </c>
      <c r="K64" s="24"/>
      <c r="L64" s="4"/>
      <c r="M64" s="5"/>
      <c r="N64" s="2" t="str">
        <f t="shared" ca="1" si="9"/>
        <v/>
      </c>
      <c r="O64" s="6" t="str">
        <f t="shared" si="10"/>
        <v/>
      </c>
      <c r="P64" s="6" t="str">
        <f t="shared" si="11"/>
        <v/>
      </c>
      <c r="Q64" s="3"/>
    </row>
    <row r="65" spans="1:17" x14ac:dyDescent="0.2">
      <c r="A65" s="2" t="str">
        <f t="shared" si="6"/>
        <v/>
      </c>
      <c r="B65" s="3"/>
      <c r="C65" s="4"/>
      <c r="D65" s="5"/>
      <c r="E65" s="6" t="str">
        <f t="shared" si="7"/>
        <v/>
      </c>
      <c r="F65" s="7"/>
      <c r="G65" s="20"/>
      <c r="H65" s="21"/>
      <c r="I65" s="21"/>
      <c r="J65" s="23" t="str">
        <f t="shared" si="8"/>
        <v/>
      </c>
      <c r="K65" s="24"/>
      <c r="L65" s="4"/>
      <c r="M65" s="5"/>
      <c r="N65" s="2" t="str">
        <f t="shared" ca="1" si="9"/>
        <v/>
      </c>
      <c r="O65" s="6" t="str">
        <f t="shared" si="10"/>
        <v/>
      </c>
      <c r="P65" s="6" t="str">
        <f t="shared" si="11"/>
        <v/>
      </c>
      <c r="Q65" s="3"/>
    </row>
    <row r="66" spans="1:17" x14ac:dyDescent="0.2">
      <c r="A66" s="2" t="str">
        <f t="shared" si="6"/>
        <v/>
      </c>
      <c r="B66" s="3"/>
      <c r="C66" s="4"/>
      <c r="D66" s="5"/>
      <c r="E66" s="6" t="str">
        <f t="shared" si="7"/>
        <v/>
      </c>
      <c r="F66" s="7"/>
      <c r="G66" s="20"/>
      <c r="H66" s="21"/>
      <c r="I66" s="21"/>
      <c r="J66" s="23" t="str">
        <f t="shared" si="8"/>
        <v/>
      </c>
      <c r="K66" s="24"/>
      <c r="L66" s="4"/>
      <c r="M66" s="5"/>
      <c r="N66" s="2" t="str">
        <f t="shared" ca="1" si="9"/>
        <v/>
      </c>
      <c r="O66" s="6" t="str">
        <f t="shared" si="10"/>
        <v/>
      </c>
      <c r="P66" s="6" t="str">
        <f t="shared" si="11"/>
        <v/>
      </c>
      <c r="Q66" s="3"/>
    </row>
    <row r="67" spans="1:17" x14ac:dyDescent="0.2">
      <c r="A67" s="2" t="str">
        <f t="shared" si="6"/>
        <v/>
      </c>
      <c r="B67" s="3"/>
      <c r="C67" s="4"/>
      <c r="D67" s="5"/>
      <c r="E67" s="6" t="str">
        <f t="shared" si="7"/>
        <v/>
      </c>
      <c r="F67" s="7"/>
      <c r="G67" s="20"/>
      <c r="H67" s="21"/>
      <c r="I67" s="21"/>
      <c r="J67" s="23" t="str">
        <f t="shared" si="8"/>
        <v/>
      </c>
      <c r="K67" s="24"/>
      <c r="L67" s="4"/>
      <c r="M67" s="5"/>
      <c r="N67" s="2" t="str">
        <f t="shared" ca="1" si="9"/>
        <v/>
      </c>
      <c r="O67" s="6" t="str">
        <f t="shared" si="10"/>
        <v/>
      </c>
      <c r="P67" s="6" t="str">
        <f t="shared" si="11"/>
        <v/>
      </c>
      <c r="Q67" s="3"/>
    </row>
    <row r="68" spans="1:17" x14ac:dyDescent="0.2">
      <c r="A68" s="2" t="str">
        <f t="shared" ref="A68:A99" si="12">IF(B68="","",ROW()-3)</f>
        <v/>
      </c>
      <c r="B68" s="3"/>
      <c r="C68" s="4"/>
      <c r="D68" s="5"/>
      <c r="E68" s="6" t="str">
        <f t="shared" ref="E68:E99" si="13">IF(C68="","",C68*1.35)</f>
        <v/>
      </c>
      <c r="F68" s="7"/>
      <c r="G68" s="20"/>
      <c r="H68" s="21"/>
      <c r="I68" s="21"/>
      <c r="J68" s="23" t="str">
        <f t="shared" ref="J68:J99" si="14">IF(OR(I68="",H68=""),"",MAX(0,I68-H68))</f>
        <v/>
      </c>
      <c r="K68" s="24"/>
      <c r="L68" s="4"/>
      <c r="M68" s="5"/>
      <c r="N68" s="2" t="str">
        <f t="shared" ref="N68:N99" ca="1" si="15">IF(D68="","",IF(M68&lt;&gt;"",IF(M68-D68&gt;=2,"Đủ","Chưa"),IF(NOW()-D68&gt;=2,"Đủ","Chưa")))</f>
        <v/>
      </c>
      <c r="O68" s="6" t="str">
        <f t="shared" ref="O68:O99" si="16">IF(L68="","",L68*0.06)</f>
        <v/>
      </c>
      <c r="P68" s="6" t="str">
        <f t="shared" ref="P68:P99" si="17">IF(OR(L68="",C68=""),"",L68*0.94-C68)</f>
        <v/>
      </c>
      <c r="Q68" s="3"/>
    </row>
    <row r="69" spans="1:17" x14ac:dyDescent="0.2">
      <c r="A69" s="2" t="str">
        <f t="shared" si="12"/>
        <v/>
      </c>
      <c r="B69" s="3"/>
      <c r="C69" s="4"/>
      <c r="D69" s="5"/>
      <c r="E69" s="6" t="str">
        <f t="shared" si="13"/>
        <v/>
      </c>
      <c r="F69" s="7"/>
      <c r="G69" s="20"/>
      <c r="H69" s="21"/>
      <c r="I69" s="21"/>
      <c r="J69" s="23" t="str">
        <f t="shared" si="14"/>
        <v/>
      </c>
      <c r="K69" s="24"/>
      <c r="L69" s="4"/>
      <c r="M69" s="5"/>
      <c r="N69" s="2" t="str">
        <f t="shared" ca="1" si="15"/>
        <v/>
      </c>
      <c r="O69" s="6" t="str">
        <f t="shared" si="16"/>
        <v/>
      </c>
      <c r="P69" s="6" t="str">
        <f t="shared" si="17"/>
        <v/>
      </c>
      <c r="Q69" s="3"/>
    </row>
    <row r="70" spans="1:17" x14ac:dyDescent="0.2">
      <c r="A70" s="2" t="str">
        <f t="shared" si="12"/>
        <v/>
      </c>
      <c r="B70" s="3"/>
      <c r="C70" s="4"/>
      <c r="D70" s="5"/>
      <c r="E70" s="6" t="str">
        <f t="shared" si="13"/>
        <v/>
      </c>
      <c r="F70" s="7"/>
      <c r="G70" s="20"/>
      <c r="H70" s="21"/>
      <c r="I70" s="21"/>
      <c r="J70" s="23" t="str">
        <f t="shared" si="14"/>
        <v/>
      </c>
      <c r="K70" s="24"/>
      <c r="L70" s="4"/>
      <c r="M70" s="5"/>
      <c r="N70" s="2" t="str">
        <f t="shared" ca="1" si="15"/>
        <v/>
      </c>
      <c r="O70" s="6" t="str">
        <f t="shared" si="16"/>
        <v/>
      </c>
      <c r="P70" s="6" t="str">
        <f t="shared" si="17"/>
        <v/>
      </c>
      <c r="Q70" s="3"/>
    </row>
    <row r="71" spans="1:17" x14ac:dyDescent="0.2">
      <c r="A71" s="2" t="str">
        <f t="shared" si="12"/>
        <v/>
      </c>
      <c r="B71" s="3"/>
      <c r="C71" s="4"/>
      <c r="D71" s="5"/>
      <c r="E71" s="6" t="str">
        <f t="shared" si="13"/>
        <v/>
      </c>
      <c r="F71" s="7"/>
      <c r="G71" s="20"/>
      <c r="H71" s="21"/>
      <c r="I71" s="21"/>
      <c r="J71" s="23" t="str">
        <f t="shared" si="14"/>
        <v/>
      </c>
      <c r="K71" s="24"/>
      <c r="L71" s="4"/>
      <c r="M71" s="5"/>
      <c r="N71" s="2" t="str">
        <f t="shared" ca="1" si="15"/>
        <v/>
      </c>
      <c r="O71" s="6" t="str">
        <f t="shared" si="16"/>
        <v/>
      </c>
      <c r="P71" s="6" t="str">
        <f t="shared" si="17"/>
        <v/>
      </c>
      <c r="Q71" s="3"/>
    </row>
    <row r="72" spans="1:17" x14ac:dyDescent="0.2">
      <c r="A72" s="2" t="str">
        <f t="shared" si="12"/>
        <v/>
      </c>
      <c r="B72" s="3"/>
      <c r="C72" s="4"/>
      <c r="D72" s="5"/>
      <c r="E72" s="6" t="str">
        <f t="shared" si="13"/>
        <v/>
      </c>
      <c r="F72" s="7"/>
      <c r="G72" s="20"/>
      <c r="H72" s="21"/>
      <c r="I72" s="21"/>
      <c r="J72" s="23" t="str">
        <f t="shared" si="14"/>
        <v/>
      </c>
      <c r="K72" s="24"/>
      <c r="L72" s="4"/>
      <c r="M72" s="5"/>
      <c r="N72" s="2" t="str">
        <f t="shared" ca="1" si="15"/>
        <v/>
      </c>
      <c r="O72" s="6" t="str">
        <f t="shared" si="16"/>
        <v/>
      </c>
      <c r="P72" s="6" t="str">
        <f t="shared" si="17"/>
        <v/>
      </c>
      <c r="Q72" s="3"/>
    </row>
    <row r="73" spans="1:17" x14ac:dyDescent="0.2">
      <c r="A73" s="2" t="str">
        <f t="shared" si="12"/>
        <v/>
      </c>
      <c r="B73" s="3"/>
      <c r="C73" s="4"/>
      <c r="D73" s="5"/>
      <c r="E73" s="6" t="str">
        <f t="shared" si="13"/>
        <v/>
      </c>
      <c r="F73" s="7"/>
      <c r="G73" s="20"/>
      <c r="H73" s="21"/>
      <c r="I73" s="21"/>
      <c r="J73" s="23" t="str">
        <f t="shared" si="14"/>
        <v/>
      </c>
      <c r="K73" s="24"/>
      <c r="L73" s="4"/>
      <c r="M73" s="5"/>
      <c r="N73" s="2" t="str">
        <f t="shared" ca="1" si="15"/>
        <v/>
      </c>
      <c r="O73" s="6" t="str">
        <f t="shared" si="16"/>
        <v/>
      </c>
      <c r="P73" s="6" t="str">
        <f t="shared" si="17"/>
        <v/>
      </c>
      <c r="Q73" s="3"/>
    </row>
    <row r="74" spans="1:17" x14ac:dyDescent="0.2">
      <c r="A74" s="2" t="str">
        <f t="shared" si="12"/>
        <v/>
      </c>
      <c r="B74" s="3"/>
      <c r="C74" s="4"/>
      <c r="D74" s="5"/>
      <c r="E74" s="6" t="str">
        <f t="shared" si="13"/>
        <v/>
      </c>
      <c r="F74" s="7"/>
      <c r="G74" s="20"/>
      <c r="H74" s="21"/>
      <c r="I74" s="21"/>
      <c r="J74" s="23" t="str">
        <f t="shared" si="14"/>
        <v/>
      </c>
      <c r="K74" s="24"/>
      <c r="L74" s="4"/>
      <c r="M74" s="5"/>
      <c r="N74" s="2" t="str">
        <f t="shared" ca="1" si="15"/>
        <v/>
      </c>
      <c r="O74" s="6" t="str">
        <f t="shared" si="16"/>
        <v/>
      </c>
      <c r="P74" s="6" t="str">
        <f t="shared" si="17"/>
        <v/>
      </c>
      <c r="Q74" s="3"/>
    </row>
    <row r="75" spans="1:17" x14ac:dyDescent="0.2">
      <c r="A75" s="2" t="str">
        <f t="shared" si="12"/>
        <v/>
      </c>
      <c r="B75" s="3"/>
      <c r="C75" s="4"/>
      <c r="D75" s="5"/>
      <c r="E75" s="6" t="str">
        <f t="shared" si="13"/>
        <v/>
      </c>
      <c r="F75" s="7"/>
      <c r="G75" s="20"/>
      <c r="H75" s="21"/>
      <c r="I75" s="21"/>
      <c r="J75" s="23" t="str">
        <f t="shared" si="14"/>
        <v/>
      </c>
      <c r="K75" s="24"/>
      <c r="L75" s="4"/>
      <c r="M75" s="5"/>
      <c r="N75" s="2" t="str">
        <f t="shared" ca="1" si="15"/>
        <v/>
      </c>
      <c r="O75" s="6" t="str">
        <f t="shared" si="16"/>
        <v/>
      </c>
      <c r="P75" s="6" t="str">
        <f t="shared" si="17"/>
        <v/>
      </c>
      <c r="Q75" s="3"/>
    </row>
    <row r="76" spans="1:17" x14ac:dyDescent="0.2">
      <c r="A76" s="2" t="str">
        <f t="shared" si="12"/>
        <v/>
      </c>
      <c r="B76" s="3"/>
      <c r="C76" s="4"/>
      <c r="D76" s="5"/>
      <c r="E76" s="6" t="str">
        <f t="shared" si="13"/>
        <v/>
      </c>
      <c r="F76" s="7"/>
      <c r="G76" s="20"/>
      <c r="H76" s="21"/>
      <c r="I76" s="21"/>
      <c r="J76" s="23" t="str">
        <f t="shared" si="14"/>
        <v/>
      </c>
      <c r="K76" s="24"/>
      <c r="L76" s="4"/>
      <c r="M76" s="5"/>
      <c r="N76" s="2" t="str">
        <f t="shared" ca="1" si="15"/>
        <v/>
      </c>
      <c r="O76" s="6" t="str">
        <f t="shared" si="16"/>
        <v/>
      </c>
      <c r="P76" s="6" t="str">
        <f t="shared" si="17"/>
        <v/>
      </c>
      <c r="Q76" s="3"/>
    </row>
    <row r="77" spans="1:17" x14ac:dyDescent="0.2">
      <c r="A77" s="2" t="str">
        <f t="shared" si="12"/>
        <v/>
      </c>
      <c r="B77" s="3"/>
      <c r="C77" s="4"/>
      <c r="D77" s="5"/>
      <c r="E77" s="6" t="str">
        <f t="shared" si="13"/>
        <v/>
      </c>
      <c r="F77" s="7"/>
      <c r="G77" s="20"/>
      <c r="H77" s="21"/>
      <c r="I77" s="21"/>
      <c r="J77" s="23" t="str">
        <f t="shared" si="14"/>
        <v/>
      </c>
      <c r="K77" s="24"/>
      <c r="L77" s="4"/>
      <c r="M77" s="5"/>
      <c r="N77" s="2" t="str">
        <f t="shared" ca="1" si="15"/>
        <v/>
      </c>
      <c r="O77" s="6" t="str">
        <f t="shared" si="16"/>
        <v/>
      </c>
      <c r="P77" s="6" t="str">
        <f t="shared" si="17"/>
        <v/>
      </c>
      <c r="Q77" s="3"/>
    </row>
    <row r="78" spans="1:17" x14ac:dyDescent="0.2">
      <c r="A78" s="2" t="str">
        <f t="shared" si="12"/>
        <v/>
      </c>
      <c r="B78" s="3"/>
      <c r="C78" s="4"/>
      <c r="D78" s="5"/>
      <c r="E78" s="6" t="str">
        <f t="shared" si="13"/>
        <v/>
      </c>
      <c r="F78" s="7"/>
      <c r="G78" s="20"/>
      <c r="H78" s="21"/>
      <c r="I78" s="21"/>
      <c r="J78" s="23" t="str">
        <f t="shared" si="14"/>
        <v/>
      </c>
      <c r="K78" s="24"/>
      <c r="L78" s="4"/>
      <c r="M78" s="5"/>
      <c r="N78" s="2" t="str">
        <f t="shared" ca="1" si="15"/>
        <v/>
      </c>
      <c r="O78" s="6" t="str">
        <f t="shared" si="16"/>
        <v/>
      </c>
      <c r="P78" s="6" t="str">
        <f t="shared" si="17"/>
        <v/>
      </c>
      <c r="Q78" s="3"/>
    </row>
    <row r="79" spans="1:17" x14ac:dyDescent="0.2">
      <c r="A79" s="2" t="str">
        <f t="shared" si="12"/>
        <v/>
      </c>
      <c r="B79" s="3"/>
      <c r="C79" s="4"/>
      <c r="D79" s="5"/>
      <c r="E79" s="6" t="str">
        <f t="shared" si="13"/>
        <v/>
      </c>
      <c r="F79" s="7"/>
      <c r="G79" s="20"/>
      <c r="H79" s="21"/>
      <c r="I79" s="21"/>
      <c r="J79" s="23" t="str">
        <f t="shared" si="14"/>
        <v/>
      </c>
      <c r="K79" s="24"/>
      <c r="L79" s="4"/>
      <c r="M79" s="5"/>
      <c r="N79" s="2" t="str">
        <f t="shared" ca="1" si="15"/>
        <v/>
      </c>
      <c r="O79" s="6" t="str">
        <f t="shared" si="16"/>
        <v/>
      </c>
      <c r="P79" s="6" t="str">
        <f t="shared" si="17"/>
        <v/>
      </c>
      <c r="Q79" s="3"/>
    </row>
    <row r="80" spans="1:17" x14ac:dyDescent="0.2">
      <c r="A80" s="2" t="str">
        <f t="shared" si="12"/>
        <v/>
      </c>
      <c r="B80" s="3"/>
      <c r="C80" s="4"/>
      <c r="D80" s="5"/>
      <c r="E80" s="6" t="str">
        <f t="shared" si="13"/>
        <v/>
      </c>
      <c r="F80" s="7"/>
      <c r="G80" s="20"/>
      <c r="H80" s="21"/>
      <c r="I80" s="21"/>
      <c r="J80" s="23" t="str">
        <f t="shared" si="14"/>
        <v/>
      </c>
      <c r="K80" s="24"/>
      <c r="L80" s="4"/>
      <c r="M80" s="5"/>
      <c r="N80" s="2" t="str">
        <f t="shared" ca="1" si="15"/>
        <v/>
      </c>
      <c r="O80" s="6" t="str">
        <f t="shared" si="16"/>
        <v/>
      </c>
      <c r="P80" s="6" t="str">
        <f t="shared" si="17"/>
        <v/>
      </c>
      <c r="Q80" s="3"/>
    </row>
    <row r="81" spans="1:17" x14ac:dyDescent="0.2">
      <c r="A81" s="2" t="str">
        <f t="shared" si="12"/>
        <v/>
      </c>
      <c r="B81" s="3"/>
      <c r="C81" s="4"/>
      <c r="D81" s="5"/>
      <c r="E81" s="6" t="str">
        <f t="shared" si="13"/>
        <v/>
      </c>
      <c r="F81" s="7"/>
      <c r="G81" s="20"/>
      <c r="H81" s="21"/>
      <c r="I81" s="21"/>
      <c r="J81" s="23" t="str">
        <f t="shared" si="14"/>
        <v/>
      </c>
      <c r="K81" s="24"/>
      <c r="L81" s="4"/>
      <c r="M81" s="5"/>
      <c r="N81" s="2" t="str">
        <f t="shared" ca="1" si="15"/>
        <v/>
      </c>
      <c r="O81" s="6" t="str">
        <f t="shared" si="16"/>
        <v/>
      </c>
      <c r="P81" s="6" t="str">
        <f t="shared" si="17"/>
        <v/>
      </c>
      <c r="Q81" s="3"/>
    </row>
    <row r="82" spans="1:17" x14ac:dyDescent="0.2">
      <c r="A82" s="2" t="str">
        <f t="shared" si="12"/>
        <v/>
      </c>
      <c r="B82" s="3"/>
      <c r="C82" s="4"/>
      <c r="D82" s="5"/>
      <c r="E82" s="6" t="str">
        <f t="shared" si="13"/>
        <v/>
      </c>
      <c r="F82" s="7"/>
      <c r="G82" s="20"/>
      <c r="H82" s="21"/>
      <c r="I82" s="21"/>
      <c r="J82" s="23" t="str">
        <f t="shared" si="14"/>
        <v/>
      </c>
      <c r="K82" s="24"/>
      <c r="L82" s="4"/>
      <c r="M82" s="5"/>
      <c r="N82" s="2" t="str">
        <f t="shared" ca="1" si="15"/>
        <v/>
      </c>
      <c r="O82" s="6" t="str">
        <f t="shared" si="16"/>
        <v/>
      </c>
      <c r="P82" s="6" t="str">
        <f t="shared" si="17"/>
        <v/>
      </c>
      <c r="Q82" s="3"/>
    </row>
    <row r="83" spans="1:17" x14ac:dyDescent="0.2">
      <c r="A83" s="2" t="str">
        <f t="shared" si="12"/>
        <v/>
      </c>
      <c r="B83" s="3"/>
      <c r="C83" s="4"/>
      <c r="D83" s="5"/>
      <c r="E83" s="6" t="str">
        <f t="shared" si="13"/>
        <v/>
      </c>
      <c r="F83" s="7"/>
      <c r="G83" s="20"/>
      <c r="H83" s="21"/>
      <c r="I83" s="21"/>
      <c r="J83" s="23" t="str">
        <f t="shared" si="14"/>
        <v/>
      </c>
      <c r="K83" s="24"/>
      <c r="L83" s="4"/>
      <c r="M83" s="5"/>
      <c r="N83" s="2" t="str">
        <f t="shared" ca="1" si="15"/>
        <v/>
      </c>
      <c r="O83" s="6" t="str">
        <f t="shared" si="16"/>
        <v/>
      </c>
      <c r="P83" s="6" t="str">
        <f t="shared" si="17"/>
        <v/>
      </c>
      <c r="Q83" s="3"/>
    </row>
    <row r="84" spans="1:17" x14ac:dyDescent="0.2">
      <c r="A84" s="2" t="str">
        <f t="shared" si="12"/>
        <v/>
      </c>
      <c r="B84" s="3"/>
      <c r="C84" s="4"/>
      <c r="D84" s="5"/>
      <c r="E84" s="6" t="str">
        <f t="shared" si="13"/>
        <v/>
      </c>
      <c r="F84" s="7"/>
      <c r="G84" s="20"/>
      <c r="H84" s="21"/>
      <c r="I84" s="21"/>
      <c r="J84" s="23" t="str">
        <f t="shared" si="14"/>
        <v/>
      </c>
      <c r="K84" s="24"/>
      <c r="L84" s="4"/>
      <c r="M84" s="5"/>
      <c r="N84" s="2" t="str">
        <f t="shared" ca="1" si="15"/>
        <v/>
      </c>
      <c r="O84" s="6" t="str">
        <f t="shared" si="16"/>
        <v/>
      </c>
      <c r="P84" s="6" t="str">
        <f t="shared" si="17"/>
        <v/>
      </c>
      <c r="Q84" s="3"/>
    </row>
    <row r="85" spans="1:17" x14ac:dyDescent="0.2">
      <c r="A85" s="2" t="str">
        <f t="shared" si="12"/>
        <v/>
      </c>
      <c r="B85" s="3"/>
      <c r="C85" s="4"/>
      <c r="D85" s="5"/>
      <c r="E85" s="6" t="str">
        <f t="shared" si="13"/>
        <v/>
      </c>
      <c r="F85" s="7"/>
      <c r="G85" s="20"/>
      <c r="H85" s="21"/>
      <c r="I85" s="21"/>
      <c r="J85" s="23" t="str">
        <f t="shared" si="14"/>
        <v/>
      </c>
      <c r="K85" s="24"/>
      <c r="L85" s="4"/>
      <c r="M85" s="5"/>
      <c r="N85" s="2" t="str">
        <f t="shared" ca="1" si="15"/>
        <v/>
      </c>
      <c r="O85" s="6" t="str">
        <f t="shared" si="16"/>
        <v/>
      </c>
      <c r="P85" s="6" t="str">
        <f t="shared" si="17"/>
        <v/>
      </c>
      <c r="Q85" s="3"/>
    </row>
    <row r="86" spans="1:17" x14ac:dyDescent="0.2">
      <c r="A86" s="2" t="str">
        <f t="shared" si="12"/>
        <v/>
      </c>
      <c r="B86" s="3"/>
      <c r="C86" s="4"/>
      <c r="D86" s="5"/>
      <c r="E86" s="6" t="str">
        <f t="shared" si="13"/>
        <v/>
      </c>
      <c r="F86" s="7"/>
      <c r="G86" s="20"/>
      <c r="H86" s="21"/>
      <c r="I86" s="21"/>
      <c r="J86" s="23" t="str">
        <f t="shared" si="14"/>
        <v/>
      </c>
      <c r="K86" s="24"/>
      <c r="L86" s="4"/>
      <c r="M86" s="5"/>
      <c r="N86" s="2" t="str">
        <f t="shared" ca="1" si="15"/>
        <v/>
      </c>
      <c r="O86" s="6" t="str">
        <f t="shared" si="16"/>
        <v/>
      </c>
      <c r="P86" s="6" t="str">
        <f t="shared" si="17"/>
        <v/>
      </c>
      <c r="Q86" s="3"/>
    </row>
    <row r="87" spans="1:17" x14ac:dyDescent="0.2">
      <c r="A87" s="2" t="str">
        <f t="shared" si="12"/>
        <v/>
      </c>
      <c r="B87" s="3"/>
      <c r="C87" s="4"/>
      <c r="D87" s="5"/>
      <c r="E87" s="6" t="str">
        <f t="shared" si="13"/>
        <v/>
      </c>
      <c r="F87" s="7"/>
      <c r="G87" s="20"/>
      <c r="H87" s="21"/>
      <c r="I87" s="21"/>
      <c r="J87" s="23" t="str">
        <f t="shared" si="14"/>
        <v/>
      </c>
      <c r="K87" s="24"/>
      <c r="L87" s="4"/>
      <c r="M87" s="5"/>
      <c r="N87" s="2" t="str">
        <f t="shared" ca="1" si="15"/>
        <v/>
      </c>
      <c r="O87" s="6" t="str">
        <f t="shared" si="16"/>
        <v/>
      </c>
      <c r="P87" s="6" t="str">
        <f t="shared" si="17"/>
        <v/>
      </c>
      <c r="Q87" s="3"/>
    </row>
    <row r="88" spans="1:17" x14ac:dyDescent="0.2">
      <c r="A88" s="2" t="str">
        <f t="shared" si="12"/>
        <v/>
      </c>
      <c r="B88" s="3"/>
      <c r="C88" s="4"/>
      <c r="D88" s="5"/>
      <c r="E88" s="6" t="str">
        <f t="shared" si="13"/>
        <v/>
      </c>
      <c r="F88" s="7"/>
      <c r="G88" s="20"/>
      <c r="H88" s="21"/>
      <c r="I88" s="21"/>
      <c r="J88" s="23" t="str">
        <f t="shared" si="14"/>
        <v/>
      </c>
      <c r="K88" s="24"/>
      <c r="L88" s="4"/>
      <c r="M88" s="5"/>
      <c r="N88" s="2" t="str">
        <f t="shared" ca="1" si="15"/>
        <v/>
      </c>
      <c r="O88" s="6" t="str">
        <f t="shared" si="16"/>
        <v/>
      </c>
      <c r="P88" s="6" t="str">
        <f t="shared" si="17"/>
        <v/>
      </c>
      <c r="Q88" s="3"/>
    </row>
    <row r="89" spans="1:17" x14ac:dyDescent="0.2">
      <c r="A89" s="2" t="str">
        <f t="shared" si="12"/>
        <v/>
      </c>
      <c r="B89" s="3"/>
      <c r="C89" s="4"/>
      <c r="D89" s="5"/>
      <c r="E89" s="6" t="str">
        <f t="shared" si="13"/>
        <v/>
      </c>
      <c r="F89" s="7"/>
      <c r="G89" s="20"/>
      <c r="H89" s="21"/>
      <c r="I89" s="21"/>
      <c r="J89" s="23" t="str">
        <f t="shared" si="14"/>
        <v/>
      </c>
      <c r="K89" s="24"/>
      <c r="L89" s="4"/>
      <c r="M89" s="5"/>
      <c r="N89" s="2" t="str">
        <f t="shared" ca="1" si="15"/>
        <v/>
      </c>
      <c r="O89" s="6" t="str">
        <f t="shared" si="16"/>
        <v/>
      </c>
      <c r="P89" s="6" t="str">
        <f t="shared" si="17"/>
        <v/>
      </c>
      <c r="Q89" s="3"/>
    </row>
    <row r="90" spans="1:17" x14ac:dyDescent="0.2">
      <c r="A90" s="2" t="str">
        <f t="shared" si="12"/>
        <v/>
      </c>
      <c r="B90" s="3"/>
      <c r="C90" s="4"/>
      <c r="D90" s="5"/>
      <c r="E90" s="6" t="str">
        <f t="shared" si="13"/>
        <v/>
      </c>
      <c r="F90" s="7"/>
      <c r="G90" s="20"/>
      <c r="H90" s="21"/>
      <c r="I90" s="21"/>
      <c r="J90" s="23" t="str">
        <f t="shared" si="14"/>
        <v/>
      </c>
      <c r="K90" s="24"/>
      <c r="L90" s="4"/>
      <c r="M90" s="5"/>
      <c r="N90" s="2" t="str">
        <f t="shared" ca="1" si="15"/>
        <v/>
      </c>
      <c r="O90" s="6" t="str">
        <f t="shared" si="16"/>
        <v/>
      </c>
      <c r="P90" s="6" t="str">
        <f t="shared" si="17"/>
        <v/>
      </c>
      <c r="Q90" s="3"/>
    </row>
    <row r="91" spans="1:17" x14ac:dyDescent="0.2">
      <c r="A91" s="2" t="str">
        <f t="shared" si="12"/>
        <v/>
      </c>
      <c r="B91" s="3"/>
      <c r="C91" s="4"/>
      <c r="D91" s="5"/>
      <c r="E91" s="6" t="str">
        <f t="shared" si="13"/>
        <v/>
      </c>
      <c r="F91" s="7"/>
      <c r="G91" s="20"/>
      <c r="H91" s="21"/>
      <c r="I91" s="21"/>
      <c r="J91" s="23" t="str">
        <f t="shared" si="14"/>
        <v/>
      </c>
      <c r="K91" s="24"/>
      <c r="L91" s="4"/>
      <c r="M91" s="5"/>
      <c r="N91" s="2" t="str">
        <f t="shared" ca="1" si="15"/>
        <v/>
      </c>
      <c r="O91" s="6" t="str">
        <f t="shared" si="16"/>
        <v/>
      </c>
      <c r="P91" s="6" t="str">
        <f t="shared" si="17"/>
        <v/>
      </c>
      <c r="Q91" s="3"/>
    </row>
    <row r="92" spans="1:17" x14ac:dyDescent="0.2">
      <c r="A92" s="2" t="str">
        <f t="shared" si="12"/>
        <v/>
      </c>
      <c r="B92" s="3"/>
      <c r="C92" s="4"/>
      <c r="D92" s="5"/>
      <c r="E92" s="6" t="str">
        <f t="shared" si="13"/>
        <v/>
      </c>
      <c r="F92" s="7"/>
      <c r="G92" s="20"/>
      <c r="H92" s="21"/>
      <c r="I92" s="21"/>
      <c r="J92" s="23" t="str">
        <f t="shared" si="14"/>
        <v/>
      </c>
      <c r="K92" s="24"/>
      <c r="L92" s="4"/>
      <c r="M92" s="5"/>
      <c r="N92" s="2" t="str">
        <f t="shared" ca="1" si="15"/>
        <v/>
      </c>
      <c r="O92" s="6" t="str">
        <f t="shared" si="16"/>
        <v/>
      </c>
      <c r="P92" s="6" t="str">
        <f t="shared" si="17"/>
        <v/>
      </c>
      <c r="Q92" s="3"/>
    </row>
    <row r="93" spans="1:17" x14ac:dyDescent="0.2">
      <c r="A93" s="2" t="str">
        <f t="shared" si="12"/>
        <v/>
      </c>
      <c r="B93" s="3"/>
      <c r="C93" s="4"/>
      <c r="D93" s="5"/>
      <c r="E93" s="6" t="str">
        <f t="shared" si="13"/>
        <v/>
      </c>
      <c r="F93" s="7"/>
      <c r="G93" s="20"/>
      <c r="H93" s="21"/>
      <c r="I93" s="21"/>
      <c r="J93" s="23" t="str">
        <f t="shared" si="14"/>
        <v/>
      </c>
      <c r="K93" s="24"/>
      <c r="L93" s="4"/>
      <c r="M93" s="5"/>
      <c r="N93" s="2" t="str">
        <f t="shared" ca="1" si="15"/>
        <v/>
      </c>
      <c r="O93" s="6" t="str">
        <f t="shared" si="16"/>
        <v/>
      </c>
      <c r="P93" s="6" t="str">
        <f t="shared" si="17"/>
        <v/>
      </c>
      <c r="Q93" s="3"/>
    </row>
    <row r="94" spans="1:17" x14ac:dyDescent="0.2">
      <c r="A94" s="2" t="str">
        <f t="shared" si="12"/>
        <v/>
      </c>
      <c r="B94" s="3"/>
      <c r="C94" s="4"/>
      <c r="D94" s="5"/>
      <c r="E94" s="6" t="str">
        <f t="shared" si="13"/>
        <v/>
      </c>
      <c r="F94" s="7"/>
      <c r="G94" s="20"/>
      <c r="H94" s="21"/>
      <c r="I94" s="21"/>
      <c r="J94" s="23" t="str">
        <f t="shared" si="14"/>
        <v/>
      </c>
      <c r="K94" s="24"/>
      <c r="L94" s="4"/>
      <c r="M94" s="5"/>
      <c r="N94" s="2" t="str">
        <f t="shared" ca="1" si="15"/>
        <v/>
      </c>
      <c r="O94" s="6" t="str">
        <f t="shared" si="16"/>
        <v/>
      </c>
      <c r="P94" s="6" t="str">
        <f t="shared" si="17"/>
        <v/>
      </c>
      <c r="Q94" s="3"/>
    </row>
    <row r="95" spans="1:17" x14ac:dyDescent="0.2">
      <c r="A95" s="2" t="str">
        <f t="shared" si="12"/>
        <v/>
      </c>
      <c r="B95" s="3"/>
      <c r="C95" s="4"/>
      <c r="D95" s="5"/>
      <c r="E95" s="6" t="str">
        <f t="shared" si="13"/>
        <v/>
      </c>
      <c r="F95" s="7"/>
      <c r="G95" s="20"/>
      <c r="H95" s="21"/>
      <c r="I95" s="21"/>
      <c r="J95" s="23" t="str">
        <f t="shared" si="14"/>
        <v/>
      </c>
      <c r="K95" s="24"/>
      <c r="L95" s="4"/>
      <c r="M95" s="5"/>
      <c r="N95" s="2" t="str">
        <f t="shared" ca="1" si="15"/>
        <v/>
      </c>
      <c r="O95" s="6" t="str">
        <f t="shared" si="16"/>
        <v/>
      </c>
      <c r="P95" s="6" t="str">
        <f t="shared" si="17"/>
        <v/>
      </c>
      <c r="Q95" s="3"/>
    </row>
    <row r="96" spans="1:17" x14ac:dyDescent="0.2">
      <c r="A96" s="2" t="str">
        <f t="shared" si="12"/>
        <v/>
      </c>
      <c r="B96" s="3"/>
      <c r="C96" s="4"/>
      <c r="D96" s="5"/>
      <c r="E96" s="6" t="str">
        <f t="shared" si="13"/>
        <v/>
      </c>
      <c r="F96" s="7"/>
      <c r="G96" s="20"/>
      <c r="H96" s="21"/>
      <c r="I96" s="21"/>
      <c r="J96" s="23" t="str">
        <f t="shared" si="14"/>
        <v/>
      </c>
      <c r="K96" s="24"/>
      <c r="L96" s="4"/>
      <c r="M96" s="5"/>
      <c r="N96" s="2" t="str">
        <f t="shared" ca="1" si="15"/>
        <v/>
      </c>
      <c r="O96" s="6" t="str">
        <f t="shared" si="16"/>
        <v/>
      </c>
      <c r="P96" s="6" t="str">
        <f t="shared" si="17"/>
        <v/>
      </c>
      <c r="Q96" s="3"/>
    </row>
    <row r="97" spans="1:17" x14ac:dyDescent="0.2">
      <c r="A97" s="2" t="str">
        <f t="shared" si="12"/>
        <v/>
      </c>
      <c r="B97" s="3"/>
      <c r="C97" s="4"/>
      <c r="D97" s="5"/>
      <c r="E97" s="6" t="str">
        <f t="shared" si="13"/>
        <v/>
      </c>
      <c r="F97" s="7"/>
      <c r="G97" s="20"/>
      <c r="H97" s="21"/>
      <c r="I97" s="21"/>
      <c r="J97" s="23" t="str">
        <f t="shared" si="14"/>
        <v/>
      </c>
      <c r="K97" s="24"/>
      <c r="L97" s="4"/>
      <c r="M97" s="5"/>
      <c r="N97" s="2" t="str">
        <f t="shared" ca="1" si="15"/>
        <v/>
      </c>
      <c r="O97" s="6" t="str">
        <f t="shared" si="16"/>
        <v/>
      </c>
      <c r="P97" s="6" t="str">
        <f t="shared" si="17"/>
        <v/>
      </c>
      <c r="Q97" s="3"/>
    </row>
    <row r="98" spans="1:17" x14ac:dyDescent="0.2">
      <c r="A98" s="2" t="str">
        <f t="shared" si="12"/>
        <v/>
      </c>
      <c r="B98" s="3"/>
      <c r="C98" s="4"/>
      <c r="D98" s="5"/>
      <c r="E98" s="6" t="str">
        <f t="shared" si="13"/>
        <v/>
      </c>
      <c r="F98" s="7"/>
      <c r="G98" s="20"/>
      <c r="H98" s="21"/>
      <c r="I98" s="21"/>
      <c r="J98" s="23" t="str">
        <f t="shared" si="14"/>
        <v/>
      </c>
      <c r="K98" s="24"/>
      <c r="L98" s="4"/>
      <c r="M98" s="5"/>
      <c r="N98" s="2" t="str">
        <f t="shared" ca="1" si="15"/>
        <v/>
      </c>
      <c r="O98" s="6" t="str">
        <f t="shared" si="16"/>
        <v/>
      </c>
      <c r="P98" s="6" t="str">
        <f t="shared" si="17"/>
        <v/>
      </c>
      <c r="Q98" s="3"/>
    </row>
    <row r="99" spans="1:17" x14ac:dyDescent="0.2">
      <c r="A99" s="2" t="str">
        <f t="shared" si="12"/>
        <v/>
      </c>
      <c r="B99" s="3"/>
      <c r="C99" s="4"/>
      <c r="D99" s="5"/>
      <c r="E99" s="6" t="str">
        <f t="shared" si="13"/>
        <v/>
      </c>
      <c r="F99" s="7"/>
      <c r="G99" s="20"/>
      <c r="H99" s="21"/>
      <c r="I99" s="21"/>
      <c r="J99" s="23" t="str">
        <f t="shared" si="14"/>
        <v/>
      </c>
      <c r="K99" s="24"/>
      <c r="L99" s="4"/>
      <c r="M99" s="5"/>
      <c r="N99" s="2" t="str">
        <f t="shared" ca="1" si="15"/>
        <v/>
      </c>
      <c r="O99" s="6" t="str">
        <f t="shared" si="16"/>
        <v/>
      </c>
      <c r="P99" s="6" t="str">
        <f t="shared" si="17"/>
        <v/>
      </c>
      <c r="Q99" s="3"/>
    </row>
    <row r="100" spans="1:17" x14ac:dyDescent="0.2">
      <c r="A100" s="2" t="str">
        <f t="shared" ref="A100:A131" si="18">IF(B100="","",ROW()-3)</f>
        <v/>
      </c>
      <c r="B100" s="3"/>
      <c r="C100" s="4"/>
      <c r="D100" s="5"/>
      <c r="E100" s="6" t="str">
        <f t="shared" ref="E100:E131" si="19">IF(C100="","",C100*1.35)</f>
        <v/>
      </c>
      <c r="F100" s="7"/>
      <c r="G100" s="20"/>
      <c r="H100" s="21"/>
      <c r="I100" s="21"/>
      <c r="J100" s="23" t="str">
        <f t="shared" ref="J100:J131" si="20">IF(OR(I100="",H100=""),"",MAX(0,I100-H100))</f>
        <v/>
      </c>
      <c r="K100" s="24"/>
      <c r="L100" s="4"/>
      <c r="M100" s="5"/>
      <c r="N100" s="2" t="str">
        <f t="shared" ref="N100:N131" ca="1" si="21">IF(D100="","",IF(M100&lt;&gt;"",IF(M100-D100&gt;=2,"Đủ","Chưa"),IF(NOW()-D100&gt;=2,"Đủ","Chưa")))</f>
        <v/>
      </c>
      <c r="O100" s="6" t="str">
        <f t="shared" ref="O100:O131" si="22">IF(L100="","",L100*0.06)</f>
        <v/>
      </c>
      <c r="P100" s="6" t="str">
        <f t="shared" ref="P100:P131" si="23">IF(OR(L100="",C100=""),"",L100*0.94-C100)</f>
        <v/>
      </c>
      <c r="Q100" s="3"/>
    </row>
    <row r="101" spans="1:17" x14ac:dyDescent="0.2">
      <c r="A101" s="2" t="str">
        <f t="shared" si="18"/>
        <v/>
      </c>
      <c r="B101" s="3"/>
      <c r="C101" s="4"/>
      <c r="D101" s="5"/>
      <c r="E101" s="6" t="str">
        <f t="shared" si="19"/>
        <v/>
      </c>
      <c r="F101" s="7"/>
      <c r="G101" s="20"/>
      <c r="H101" s="21"/>
      <c r="I101" s="21"/>
      <c r="J101" s="23" t="str">
        <f t="shared" si="20"/>
        <v/>
      </c>
      <c r="K101" s="24"/>
      <c r="L101" s="4"/>
      <c r="M101" s="5"/>
      <c r="N101" s="2" t="str">
        <f t="shared" ca="1" si="21"/>
        <v/>
      </c>
      <c r="O101" s="6" t="str">
        <f t="shared" si="22"/>
        <v/>
      </c>
      <c r="P101" s="6" t="str">
        <f t="shared" si="23"/>
        <v/>
      </c>
      <c r="Q101" s="3"/>
    </row>
    <row r="102" spans="1:17" x14ac:dyDescent="0.2">
      <c r="A102" s="2" t="str">
        <f t="shared" si="18"/>
        <v/>
      </c>
      <c r="B102" s="3"/>
      <c r="C102" s="4"/>
      <c r="D102" s="5"/>
      <c r="E102" s="6" t="str">
        <f t="shared" si="19"/>
        <v/>
      </c>
      <c r="F102" s="7"/>
      <c r="G102" s="20"/>
      <c r="H102" s="21"/>
      <c r="I102" s="21"/>
      <c r="J102" s="23" t="str">
        <f t="shared" si="20"/>
        <v/>
      </c>
      <c r="K102" s="24"/>
      <c r="L102" s="4"/>
      <c r="M102" s="5"/>
      <c r="N102" s="2" t="str">
        <f t="shared" ca="1" si="21"/>
        <v/>
      </c>
      <c r="O102" s="6" t="str">
        <f t="shared" si="22"/>
        <v/>
      </c>
      <c r="P102" s="6" t="str">
        <f t="shared" si="23"/>
        <v/>
      </c>
      <c r="Q102" s="3"/>
    </row>
    <row r="103" spans="1:17" x14ac:dyDescent="0.2">
      <c r="A103" s="2" t="str">
        <f t="shared" si="18"/>
        <v/>
      </c>
      <c r="B103" s="3"/>
      <c r="C103" s="4"/>
      <c r="D103" s="5"/>
      <c r="E103" s="6" t="str">
        <f t="shared" si="19"/>
        <v/>
      </c>
      <c r="F103" s="7"/>
      <c r="G103" s="20"/>
      <c r="H103" s="21"/>
      <c r="I103" s="21"/>
      <c r="J103" s="23" t="str">
        <f t="shared" si="20"/>
        <v/>
      </c>
      <c r="K103" s="24"/>
      <c r="L103" s="4"/>
      <c r="M103" s="5"/>
      <c r="N103" s="2" t="str">
        <f t="shared" ca="1" si="21"/>
        <v/>
      </c>
      <c r="O103" s="6" t="str">
        <f t="shared" si="22"/>
        <v/>
      </c>
      <c r="P103" s="6" t="str">
        <f t="shared" si="23"/>
        <v/>
      </c>
      <c r="Q103" s="3"/>
    </row>
    <row r="104" spans="1:17" x14ac:dyDescent="0.2">
      <c r="A104" s="2" t="str">
        <f t="shared" si="18"/>
        <v/>
      </c>
      <c r="B104" s="3"/>
      <c r="C104" s="4"/>
      <c r="D104" s="5"/>
      <c r="E104" s="6" t="str">
        <f t="shared" si="19"/>
        <v/>
      </c>
      <c r="F104" s="7"/>
      <c r="G104" s="20"/>
      <c r="H104" s="21"/>
      <c r="I104" s="21"/>
      <c r="J104" s="23" t="str">
        <f t="shared" si="20"/>
        <v/>
      </c>
      <c r="K104" s="24"/>
      <c r="L104" s="4"/>
      <c r="M104" s="5"/>
      <c r="N104" s="2" t="str">
        <f t="shared" ca="1" si="21"/>
        <v/>
      </c>
      <c r="O104" s="6" t="str">
        <f t="shared" si="22"/>
        <v/>
      </c>
      <c r="P104" s="6" t="str">
        <f t="shared" si="23"/>
        <v/>
      </c>
      <c r="Q104" s="3"/>
    </row>
    <row r="105" spans="1:17" x14ac:dyDescent="0.2">
      <c r="A105" s="2" t="str">
        <f t="shared" si="18"/>
        <v/>
      </c>
      <c r="B105" s="3"/>
      <c r="C105" s="4"/>
      <c r="D105" s="5"/>
      <c r="E105" s="6" t="str">
        <f t="shared" si="19"/>
        <v/>
      </c>
      <c r="F105" s="7"/>
      <c r="G105" s="20"/>
      <c r="H105" s="21"/>
      <c r="I105" s="21"/>
      <c r="J105" s="23" t="str">
        <f t="shared" si="20"/>
        <v/>
      </c>
      <c r="K105" s="24"/>
      <c r="L105" s="4"/>
      <c r="M105" s="5"/>
      <c r="N105" s="2" t="str">
        <f t="shared" ca="1" si="21"/>
        <v/>
      </c>
      <c r="O105" s="6" t="str">
        <f t="shared" si="22"/>
        <v/>
      </c>
      <c r="P105" s="6" t="str">
        <f t="shared" si="23"/>
        <v/>
      </c>
      <c r="Q105" s="3"/>
    </row>
    <row r="106" spans="1:17" x14ac:dyDescent="0.2">
      <c r="A106" s="2" t="str">
        <f t="shared" si="18"/>
        <v/>
      </c>
      <c r="B106" s="3"/>
      <c r="C106" s="4"/>
      <c r="D106" s="5"/>
      <c r="E106" s="6" t="str">
        <f t="shared" si="19"/>
        <v/>
      </c>
      <c r="F106" s="7"/>
      <c r="G106" s="20"/>
      <c r="H106" s="21"/>
      <c r="I106" s="21"/>
      <c r="J106" s="23" t="str">
        <f t="shared" si="20"/>
        <v/>
      </c>
      <c r="K106" s="24"/>
      <c r="L106" s="4"/>
      <c r="M106" s="5"/>
      <c r="N106" s="2" t="str">
        <f t="shared" ca="1" si="21"/>
        <v/>
      </c>
      <c r="O106" s="6" t="str">
        <f t="shared" si="22"/>
        <v/>
      </c>
      <c r="P106" s="6" t="str">
        <f t="shared" si="23"/>
        <v/>
      </c>
      <c r="Q106" s="3"/>
    </row>
    <row r="107" spans="1:17" x14ac:dyDescent="0.2">
      <c r="A107" s="2" t="str">
        <f t="shared" si="18"/>
        <v/>
      </c>
      <c r="B107" s="3"/>
      <c r="C107" s="4"/>
      <c r="D107" s="5"/>
      <c r="E107" s="6" t="str">
        <f t="shared" si="19"/>
        <v/>
      </c>
      <c r="F107" s="7"/>
      <c r="G107" s="20"/>
      <c r="H107" s="21"/>
      <c r="I107" s="21"/>
      <c r="J107" s="23" t="str">
        <f t="shared" si="20"/>
        <v/>
      </c>
      <c r="K107" s="24"/>
      <c r="L107" s="4"/>
      <c r="M107" s="5"/>
      <c r="N107" s="2" t="str">
        <f t="shared" ca="1" si="21"/>
        <v/>
      </c>
      <c r="O107" s="6" t="str">
        <f t="shared" si="22"/>
        <v/>
      </c>
      <c r="P107" s="6" t="str">
        <f t="shared" si="23"/>
        <v/>
      </c>
      <c r="Q107" s="3"/>
    </row>
    <row r="108" spans="1:17" x14ac:dyDescent="0.2">
      <c r="A108" s="2" t="str">
        <f t="shared" si="18"/>
        <v/>
      </c>
      <c r="B108" s="3"/>
      <c r="C108" s="4"/>
      <c r="D108" s="5"/>
      <c r="E108" s="6" t="str">
        <f t="shared" si="19"/>
        <v/>
      </c>
      <c r="F108" s="7"/>
      <c r="G108" s="20"/>
      <c r="H108" s="21"/>
      <c r="I108" s="21"/>
      <c r="J108" s="23" t="str">
        <f t="shared" si="20"/>
        <v/>
      </c>
      <c r="K108" s="24"/>
      <c r="L108" s="4"/>
      <c r="M108" s="5"/>
      <c r="N108" s="2" t="str">
        <f t="shared" ca="1" si="21"/>
        <v/>
      </c>
      <c r="O108" s="6" t="str">
        <f t="shared" si="22"/>
        <v/>
      </c>
      <c r="P108" s="6" t="str">
        <f t="shared" si="23"/>
        <v/>
      </c>
      <c r="Q108" s="3"/>
    </row>
    <row r="109" spans="1:17" x14ac:dyDescent="0.2">
      <c r="A109" s="2" t="str">
        <f t="shared" si="18"/>
        <v/>
      </c>
      <c r="B109" s="3"/>
      <c r="C109" s="4"/>
      <c r="D109" s="5"/>
      <c r="E109" s="6" t="str">
        <f t="shared" si="19"/>
        <v/>
      </c>
      <c r="F109" s="7"/>
      <c r="G109" s="20"/>
      <c r="H109" s="21"/>
      <c r="I109" s="21"/>
      <c r="J109" s="23" t="str">
        <f t="shared" si="20"/>
        <v/>
      </c>
      <c r="K109" s="24"/>
      <c r="L109" s="4"/>
      <c r="M109" s="5"/>
      <c r="N109" s="2" t="str">
        <f t="shared" ca="1" si="21"/>
        <v/>
      </c>
      <c r="O109" s="6" t="str">
        <f t="shared" si="22"/>
        <v/>
      </c>
      <c r="P109" s="6" t="str">
        <f t="shared" si="23"/>
        <v/>
      </c>
      <c r="Q109" s="3"/>
    </row>
    <row r="110" spans="1:17" x14ac:dyDescent="0.2">
      <c r="A110" s="2" t="str">
        <f t="shared" si="18"/>
        <v/>
      </c>
      <c r="B110" s="3"/>
      <c r="C110" s="4"/>
      <c r="D110" s="5"/>
      <c r="E110" s="6" t="str">
        <f t="shared" si="19"/>
        <v/>
      </c>
      <c r="F110" s="7"/>
      <c r="G110" s="20"/>
      <c r="H110" s="21"/>
      <c r="I110" s="21"/>
      <c r="J110" s="23" t="str">
        <f t="shared" si="20"/>
        <v/>
      </c>
      <c r="K110" s="24"/>
      <c r="L110" s="4"/>
      <c r="M110" s="5"/>
      <c r="N110" s="2" t="str">
        <f t="shared" ca="1" si="21"/>
        <v/>
      </c>
      <c r="O110" s="6" t="str">
        <f t="shared" si="22"/>
        <v/>
      </c>
      <c r="P110" s="6" t="str">
        <f t="shared" si="23"/>
        <v/>
      </c>
      <c r="Q110" s="3"/>
    </row>
    <row r="111" spans="1:17" x14ac:dyDescent="0.2">
      <c r="A111" s="2" t="str">
        <f t="shared" si="18"/>
        <v/>
      </c>
      <c r="B111" s="3"/>
      <c r="C111" s="4"/>
      <c r="D111" s="5"/>
      <c r="E111" s="6" t="str">
        <f t="shared" si="19"/>
        <v/>
      </c>
      <c r="F111" s="7"/>
      <c r="G111" s="20"/>
      <c r="H111" s="21"/>
      <c r="I111" s="21"/>
      <c r="J111" s="23" t="str">
        <f t="shared" si="20"/>
        <v/>
      </c>
      <c r="K111" s="24"/>
      <c r="L111" s="4"/>
      <c r="M111" s="5"/>
      <c r="N111" s="2" t="str">
        <f t="shared" ca="1" si="21"/>
        <v/>
      </c>
      <c r="O111" s="6" t="str">
        <f t="shared" si="22"/>
        <v/>
      </c>
      <c r="P111" s="6" t="str">
        <f t="shared" si="23"/>
        <v/>
      </c>
      <c r="Q111" s="3"/>
    </row>
    <row r="112" spans="1:17" x14ac:dyDescent="0.2">
      <c r="A112" s="2" t="str">
        <f t="shared" si="18"/>
        <v/>
      </c>
      <c r="B112" s="3"/>
      <c r="C112" s="4"/>
      <c r="D112" s="5"/>
      <c r="E112" s="6" t="str">
        <f t="shared" si="19"/>
        <v/>
      </c>
      <c r="F112" s="7"/>
      <c r="G112" s="20"/>
      <c r="H112" s="21"/>
      <c r="I112" s="21"/>
      <c r="J112" s="23" t="str">
        <f t="shared" si="20"/>
        <v/>
      </c>
      <c r="K112" s="24"/>
      <c r="L112" s="4"/>
      <c r="M112" s="5"/>
      <c r="N112" s="2" t="str">
        <f t="shared" ca="1" si="21"/>
        <v/>
      </c>
      <c r="O112" s="6" t="str">
        <f t="shared" si="22"/>
        <v/>
      </c>
      <c r="P112" s="6" t="str">
        <f t="shared" si="23"/>
        <v/>
      </c>
      <c r="Q112" s="3"/>
    </row>
    <row r="113" spans="1:17" x14ac:dyDescent="0.2">
      <c r="A113" s="2" t="str">
        <f t="shared" si="18"/>
        <v/>
      </c>
      <c r="B113" s="3"/>
      <c r="C113" s="4"/>
      <c r="D113" s="5"/>
      <c r="E113" s="6" t="str">
        <f t="shared" si="19"/>
        <v/>
      </c>
      <c r="F113" s="7"/>
      <c r="G113" s="20"/>
      <c r="H113" s="21"/>
      <c r="I113" s="21"/>
      <c r="J113" s="23" t="str">
        <f t="shared" si="20"/>
        <v/>
      </c>
      <c r="K113" s="24"/>
      <c r="L113" s="4"/>
      <c r="M113" s="5"/>
      <c r="N113" s="2" t="str">
        <f t="shared" ca="1" si="21"/>
        <v/>
      </c>
      <c r="O113" s="6" t="str">
        <f t="shared" si="22"/>
        <v/>
      </c>
      <c r="P113" s="6" t="str">
        <f t="shared" si="23"/>
        <v/>
      </c>
      <c r="Q113" s="3"/>
    </row>
    <row r="114" spans="1:17" x14ac:dyDescent="0.2">
      <c r="A114" s="2" t="str">
        <f t="shared" si="18"/>
        <v/>
      </c>
      <c r="B114" s="3"/>
      <c r="C114" s="4"/>
      <c r="D114" s="5"/>
      <c r="E114" s="6" t="str">
        <f t="shared" si="19"/>
        <v/>
      </c>
      <c r="F114" s="7"/>
      <c r="G114" s="20"/>
      <c r="H114" s="21"/>
      <c r="I114" s="21"/>
      <c r="J114" s="23" t="str">
        <f t="shared" si="20"/>
        <v/>
      </c>
      <c r="K114" s="24"/>
      <c r="L114" s="4"/>
      <c r="M114" s="5"/>
      <c r="N114" s="2" t="str">
        <f t="shared" ca="1" si="21"/>
        <v/>
      </c>
      <c r="O114" s="6" t="str">
        <f t="shared" si="22"/>
        <v/>
      </c>
      <c r="P114" s="6" t="str">
        <f t="shared" si="23"/>
        <v/>
      </c>
      <c r="Q114" s="3"/>
    </row>
    <row r="115" spans="1:17" x14ac:dyDescent="0.2">
      <c r="A115" s="2" t="str">
        <f t="shared" si="18"/>
        <v/>
      </c>
      <c r="B115" s="3"/>
      <c r="C115" s="4"/>
      <c r="D115" s="5"/>
      <c r="E115" s="6" t="str">
        <f t="shared" si="19"/>
        <v/>
      </c>
      <c r="F115" s="7"/>
      <c r="G115" s="20"/>
      <c r="H115" s="21"/>
      <c r="I115" s="21"/>
      <c r="J115" s="23" t="str">
        <f t="shared" si="20"/>
        <v/>
      </c>
      <c r="K115" s="24"/>
      <c r="L115" s="4"/>
      <c r="M115" s="5"/>
      <c r="N115" s="2" t="str">
        <f t="shared" ca="1" si="21"/>
        <v/>
      </c>
      <c r="O115" s="6" t="str">
        <f t="shared" si="22"/>
        <v/>
      </c>
      <c r="P115" s="6" t="str">
        <f t="shared" si="23"/>
        <v/>
      </c>
      <c r="Q115" s="3"/>
    </row>
    <row r="116" spans="1:17" x14ac:dyDescent="0.2">
      <c r="A116" s="2" t="str">
        <f t="shared" si="18"/>
        <v/>
      </c>
      <c r="B116" s="3"/>
      <c r="C116" s="4"/>
      <c r="D116" s="5"/>
      <c r="E116" s="6" t="str">
        <f t="shared" si="19"/>
        <v/>
      </c>
      <c r="F116" s="7"/>
      <c r="G116" s="20"/>
      <c r="H116" s="21"/>
      <c r="I116" s="21"/>
      <c r="J116" s="23" t="str">
        <f t="shared" si="20"/>
        <v/>
      </c>
      <c r="K116" s="24"/>
      <c r="L116" s="4"/>
      <c r="M116" s="5"/>
      <c r="N116" s="2" t="str">
        <f t="shared" ca="1" si="21"/>
        <v/>
      </c>
      <c r="O116" s="6" t="str">
        <f t="shared" si="22"/>
        <v/>
      </c>
      <c r="P116" s="6" t="str">
        <f t="shared" si="23"/>
        <v/>
      </c>
      <c r="Q116" s="3"/>
    </row>
    <row r="117" spans="1:17" x14ac:dyDescent="0.2">
      <c r="A117" s="2" t="str">
        <f t="shared" si="18"/>
        <v/>
      </c>
      <c r="B117" s="3"/>
      <c r="C117" s="4"/>
      <c r="D117" s="5"/>
      <c r="E117" s="6" t="str">
        <f t="shared" si="19"/>
        <v/>
      </c>
      <c r="F117" s="7"/>
      <c r="G117" s="20"/>
      <c r="H117" s="21"/>
      <c r="I117" s="21"/>
      <c r="J117" s="23" t="str">
        <f t="shared" si="20"/>
        <v/>
      </c>
      <c r="K117" s="24"/>
      <c r="L117" s="4"/>
      <c r="M117" s="5"/>
      <c r="N117" s="2" t="str">
        <f t="shared" ca="1" si="21"/>
        <v/>
      </c>
      <c r="O117" s="6" t="str">
        <f t="shared" si="22"/>
        <v/>
      </c>
      <c r="P117" s="6" t="str">
        <f t="shared" si="23"/>
        <v/>
      </c>
      <c r="Q117" s="3"/>
    </row>
    <row r="118" spans="1:17" x14ac:dyDescent="0.2">
      <c r="A118" s="2" t="str">
        <f t="shared" si="18"/>
        <v/>
      </c>
      <c r="B118" s="3"/>
      <c r="C118" s="4"/>
      <c r="D118" s="5"/>
      <c r="E118" s="6" t="str">
        <f t="shared" si="19"/>
        <v/>
      </c>
      <c r="F118" s="7"/>
      <c r="G118" s="20"/>
      <c r="H118" s="21"/>
      <c r="I118" s="21"/>
      <c r="J118" s="23" t="str">
        <f t="shared" si="20"/>
        <v/>
      </c>
      <c r="K118" s="24"/>
      <c r="L118" s="4"/>
      <c r="M118" s="5"/>
      <c r="N118" s="2" t="str">
        <f t="shared" ca="1" si="21"/>
        <v/>
      </c>
      <c r="O118" s="6" t="str">
        <f t="shared" si="22"/>
        <v/>
      </c>
      <c r="P118" s="6" t="str">
        <f t="shared" si="23"/>
        <v/>
      </c>
      <c r="Q118" s="3"/>
    </row>
    <row r="119" spans="1:17" x14ac:dyDescent="0.2">
      <c r="A119" s="2" t="str">
        <f t="shared" si="18"/>
        <v/>
      </c>
      <c r="B119" s="3"/>
      <c r="C119" s="4"/>
      <c r="D119" s="5"/>
      <c r="E119" s="6" t="str">
        <f t="shared" si="19"/>
        <v/>
      </c>
      <c r="F119" s="7"/>
      <c r="G119" s="20"/>
      <c r="H119" s="21"/>
      <c r="I119" s="21"/>
      <c r="J119" s="23" t="str">
        <f t="shared" si="20"/>
        <v/>
      </c>
      <c r="K119" s="24"/>
      <c r="L119" s="4"/>
      <c r="M119" s="5"/>
      <c r="N119" s="2" t="str">
        <f t="shared" ca="1" si="21"/>
        <v/>
      </c>
      <c r="O119" s="6" t="str">
        <f t="shared" si="22"/>
        <v/>
      </c>
      <c r="P119" s="6" t="str">
        <f t="shared" si="23"/>
        <v/>
      </c>
      <c r="Q119" s="3"/>
    </row>
    <row r="120" spans="1:17" x14ac:dyDescent="0.2">
      <c r="A120" s="2" t="str">
        <f t="shared" si="18"/>
        <v/>
      </c>
      <c r="B120" s="3"/>
      <c r="C120" s="4"/>
      <c r="D120" s="5"/>
      <c r="E120" s="6" t="str">
        <f t="shared" si="19"/>
        <v/>
      </c>
      <c r="F120" s="7"/>
      <c r="G120" s="20"/>
      <c r="H120" s="21"/>
      <c r="I120" s="21"/>
      <c r="J120" s="23" t="str">
        <f t="shared" si="20"/>
        <v/>
      </c>
      <c r="K120" s="24"/>
      <c r="L120" s="4"/>
      <c r="M120" s="5"/>
      <c r="N120" s="2" t="str">
        <f t="shared" ca="1" si="21"/>
        <v/>
      </c>
      <c r="O120" s="6" t="str">
        <f t="shared" si="22"/>
        <v/>
      </c>
      <c r="P120" s="6" t="str">
        <f t="shared" si="23"/>
        <v/>
      </c>
      <c r="Q120" s="3"/>
    </row>
    <row r="121" spans="1:17" x14ac:dyDescent="0.2">
      <c r="A121" s="2" t="str">
        <f t="shared" si="18"/>
        <v/>
      </c>
      <c r="B121" s="3"/>
      <c r="C121" s="4"/>
      <c r="D121" s="5"/>
      <c r="E121" s="6" t="str">
        <f t="shared" si="19"/>
        <v/>
      </c>
      <c r="F121" s="7"/>
      <c r="G121" s="20"/>
      <c r="H121" s="21"/>
      <c r="I121" s="21"/>
      <c r="J121" s="23" t="str">
        <f t="shared" si="20"/>
        <v/>
      </c>
      <c r="K121" s="24"/>
      <c r="L121" s="4"/>
      <c r="M121" s="5"/>
      <c r="N121" s="2" t="str">
        <f t="shared" ca="1" si="21"/>
        <v/>
      </c>
      <c r="O121" s="6" t="str">
        <f t="shared" si="22"/>
        <v/>
      </c>
      <c r="P121" s="6" t="str">
        <f t="shared" si="23"/>
        <v/>
      </c>
      <c r="Q121" s="3"/>
    </row>
    <row r="122" spans="1:17" x14ac:dyDescent="0.2">
      <c r="A122" s="2" t="str">
        <f t="shared" si="18"/>
        <v/>
      </c>
      <c r="B122" s="3"/>
      <c r="C122" s="4"/>
      <c r="D122" s="5"/>
      <c r="E122" s="6" t="str">
        <f t="shared" si="19"/>
        <v/>
      </c>
      <c r="F122" s="7"/>
      <c r="G122" s="20"/>
      <c r="H122" s="21"/>
      <c r="I122" s="21"/>
      <c r="J122" s="23" t="str">
        <f t="shared" si="20"/>
        <v/>
      </c>
      <c r="K122" s="24"/>
      <c r="L122" s="4"/>
      <c r="M122" s="5"/>
      <c r="N122" s="2" t="str">
        <f t="shared" ca="1" si="21"/>
        <v/>
      </c>
      <c r="O122" s="6" t="str">
        <f t="shared" si="22"/>
        <v/>
      </c>
      <c r="P122" s="6" t="str">
        <f t="shared" si="23"/>
        <v/>
      </c>
      <c r="Q122" s="3"/>
    </row>
    <row r="123" spans="1:17" x14ac:dyDescent="0.2">
      <c r="A123" s="2" t="str">
        <f t="shared" si="18"/>
        <v/>
      </c>
      <c r="B123" s="3"/>
      <c r="C123" s="4"/>
      <c r="D123" s="5"/>
      <c r="E123" s="6" t="str">
        <f t="shared" si="19"/>
        <v/>
      </c>
      <c r="F123" s="7"/>
      <c r="G123" s="20"/>
      <c r="H123" s="21"/>
      <c r="I123" s="21"/>
      <c r="J123" s="23" t="str">
        <f t="shared" si="20"/>
        <v/>
      </c>
      <c r="K123" s="24"/>
      <c r="L123" s="4"/>
      <c r="M123" s="5"/>
      <c r="N123" s="2" t="str">
        <f t="shared" ca="1" si="21"/>
        <v/>
      </c>
      <c r="O123" s="6" t="str">
        <f t="shared" si="22"/>
        <v/>
      </c>
      <c r="P123" s="6" t="str">
        <f t="shared" si="23"/>
        <v/>
      </c>
      <c r="Q123" s="3"/>
    </row>
    <row r="124" spans="1:17" x14ac:dyDescent="0.2">
      <c r="A124" s="2" t="str">
        <f t="shared" si="18"/>
        <v/>
      </c>
      <c r="B124" s="3"/>
      <c r="C124" s="4"/>
      <c r="D124" s="5"/>
      <c r="E124" s="6" t="str">
        <f t="shared" si="19"/>
        <v/>
      </c>
      <c r="F124" s="7"/>
      <c r="G124" s="20"/>
      <c r="H124" s="21"/>
      <c r="I124" s="21"/>
      <c r="J124" s="23" t="str">
        <f t="shared" si="20"/>
        <v/>
      </c>
      <c r="K124" s="24"/>
      <c r="L124" s="4"/>
      <c r="M124" s="5"/>
      <c r="N124" s="2" t="str">
        <f t="shared" ca="1" si="21"/>
        <v/>
      </c>
      <c r="O124" s="6" t="str">
        <f t="shared" si="22"/>
        <v/>
      </c>
      <c r="P124" s="6" t="str">
        <f t="shared" si="23"/>
        <v/>
      </c>
      <c r="Q124" s="3"/>
    </row>
    <row r="125" spans="1:17" x14ac:dyDescent="0.2">
      <c r="A125" s="2" t="str">
        <f t="shared" si="18"/>
        <v/>
      </c>
      <c r="B125" s="3"/>
      <c r="C125" s="4"/>
      <c r="D125" s="5"/>
      <c r="E125" s="6" t="str">
        <f t="shared" si="19"/>
        <v/>
      </c>
      <c r="F125" s="7"/>
      <c r="G125" s="20"/>
      <c r="H125" s="21"/>
      <c r="I125" s="21"/>
      <c r="J125" s="23" t="str">
        <f t="shared" si="20"/>
        <v/>
      </c>
      <c r="K125" s="24"/>
      <c r="L125" s="4"/>
      <c r="M125" s="5"/>
      <c r="N125" s="2" t="str">
        <f t="shared" ca="1" si="21"/>
        <v/>
      </c>
      <c r="O125" s="6" t="str">
        <f t="shared" si="22"/>
        <v/>
      </c>
      <c r="P125" s="6" t="str">
        <f t="shared" si="23"/>
        <v/>
      </c>
      <c r="Q125" s="3"/>
    </row>
    <row r="126" spans="1:17" x14ac:dyDescent="0.2">
      <c r="A126" s="2" t="str">
        <f t="shared" si="18"/>
        <v/>
      </c>
      <c r="B126" s="3"/>
      <c r="C126" s="4"/>
      <c r="D126" s="5"/>
      <c r="E126" s="6" t="str">
        <f t="shared" si="19"/>
        <v/>
      </c>
      <c r="F126" s="7"/>
      <c r="G126" s="20"/>
      <c r="H126" s="21"/>
      <c r="I126" s="21"/>
      <c r="J126" s="23" t="str">
        <f t="shared" si="20"/>
        <v/>
      </c>
      <c r="K126" s="24"/>
      <c r="L126" s="4"/>
      <c r="M126" s="5"/>
      <c r="N126" s="2" t="str">
        <f t="shared" ca="1" si="21"/>
        <v/>
      </c>
      <c r="O126" s="6" t="str">
        <f t="shared" si="22"/>
        <v/>
      </c>
      <c r="P126" s="6" t="str">
        <f t="shared" si="23"/>
        <v/>
      </c>
      <c r="Q126" s="3"/>
    </row>
    <row r="127" spans="1:17" x14ac:dyDescent="0.2">
      <c r="A127" s="2" t="str">
        <f t="shared" si="18"/>
        <v/>
      </c>
      <c r="B127" s="3"/>
      <c r="C127" s="4"/>
      <c r="D127" s="5"/>
      <c r="E127" s="6" t="str">
        <f t="shared" si="19"/>
        <v/>
      </c>
      <c r="F127" s="7"/>
      <c r="G127" s="20"/>
      <c r="H127" s="21"/>
      <c r="I127" s="21"/>
      <c r="J127" s="23" t="str">
        <f t="shared" si="20"/>
        <v/>
      </c>
      <c r="K127" s="24"/>
      <c r="L127" s="4"/>
      <c r="M127" s="5"/>
      <c r="N127" s="2" t="str">
        <f t="shared" ca="1" si="21"/>
        <v/>
      </c>
      <c r="O127" s="6" t="str">
        <f t="shared" si="22"/>
        <v/>
      </c>
      <c r="P127" s="6" t="str">
        <f t="shared" si="23"/>
        <v/>
      </c>
      <c r="Q127" s="3"/>
    </row>
    <row r="128" spans="1:17" x14ac:dyDescent="0.2">
      <c r="A128" s="2" t="str">
        <f t="shared" si="18"/>
        <v/>
      </c>
      <c r="B128" s="3"/>
      <c r="C128" s="4"/>
      <c r="D128" s="5"/>
      <c r="E128" s="6" t="str">
        <f t="shared" si="19"/>
        <v/>
      </c>
      <c r="F128" s="7"/>
      <c r="G128" s="20"/>
      <c r="H128" s="21"/>
      <c r="I128" s="21"/>
      <c r="J128" s="23" t="str">
        <f t="shared" si="20"/>
        <v/>
      </c>
      <c r="K128" s="24"/>
      <c r="L128" s="4"/>
      <c r="M128" s="5"/>
      <c r="N128" s="2" t="str">
        <f t="shared" ca="1" si="21"/>
        <v/>
      </c>
      <c r="O128" s="6" t="str">
        <f t="shared" si="22"/>
        <v/>
      </c>
      <c r="P128" s="6" t="str">
        <f t="shared" si="23"/>
        <v/>
      </c>
      <c r="Q128" s="3"/>
    </row>
    <row r="129" spans="1:17" x14ac:dyDescent="0.2">
      <c r="A129" s="2" t="str">
        <f t="shared" si="18"/>
        <v/>
      </c>
      <c r="B129" s="3"/>
      <c r="C129" s="4"/>
      <c r="D129" s="5"/>
      <c r="E129" s="6" t="str">
        <f t="shared" si="19"/>
        <v/>
      </c>
      <c r="F129" s="7"/>
      <c r="G129" s="20"/>
      <c r="H129" s="21"/>
      <c r="I129" s="21"/>
      <c r="J129" s="23" t="str">
        <f t="shared" si="20"/>
        <v/>
      </c>
      <c r="K129" s="24"/>
      <c r="L129" s="4"/>
      <c r="M129" s="5"/>
      <c r="N129" s="2" t="str">
        <f t="shared" ca="1" si="21"/>
        <v/>
      </c>
      <c r="O129" s="6" t="str">
        <f t="shared" si="22"/>
        <v/>
      </c>
      <c r="P129" s="6" t="str">
        <f t="shared" si="23"/>
        <v/>
      </c>
      <c r="Q129" s="3"/>
    </row>
    <row r="130" spans="1:17" x14ac:dyDescent="0.2">
      <c r="A130" s="2" t="str">
        <f t="shared" si="18"/>
        <v/>
      </c>
      <c r="B130" s="3"/>
      <c r="C130" s="4"/>
      <c r="D130" s="5"/>
      <c r="E130" s="6" t="str">
        <f t="shared" si="19"/>
        <v/>
      </c>
      <c r="F130" s="7"/>
      <c r="G130" s="20"/>
      <c r="H130" s="21"/>
      <c r="I130" s="21"/>
      <c r="J130" s="23" t="str">
        <f t="shared" si="20"/>
        <v/>
      </c>
      <c r="K130" s="24"/>
      <c r="L130" s="4"/>
      <c r="M130" s="5"/>
      <c r="N130" s="2" t="str">
        <f t="shared" ca="1" si="21"/>
        <v/>
      </c>
      <c r="O130" s="6" t="str">
        <f t="shared" si="22"/>
        <v/>
      </c>
      <c r="P130" s="6" t="str">
        <f t="shared" si="23"/>
        <v/>
      </c>
      <c r="Q130" s="3"/>
    </row>
    <row r="131" spans="1:17" x14ac:dyDescent="0.2">
      <c r="A131" s="2" t="str">
        <f t="shared" si="18"/>
        <v/>
      </c>
      <c r="B131" s="3"/>
      <c r="C131" s="4"/>
      <c r="D131" s="5"/>
      <c r="E131" s="6" t="str">
        <f t="shared" si="19"/>
        <v/>
      </c>
      <c r="F131" s="7"/>
      <c r="G131" s="20"/>
      <c r="H131" s="21"/>
      <c r="I131" s="21"/>
      <c r="J131" s="23" t="str">
        <f t="shared" si="20"/>
        <v/>
      </c>
      <c r="K131" s="24"/>
      <c r="L131" s="4"/>
      <c r="M131" s="5"/>
      <c r="N131" s="2" t="str">
        <f t="shared" ca="1" si="21"/>
        <v/>
      </c>
      <c r="O131" s="6" t="str">
        <f t="shared" si="22"/>
        <v/>
      </c>
      <c r="P131" s="6" t="str">
        <f t="shared" si="23"/>
        <v/>
      </c>
      <c r="Q131" s="3"/>
    </row>
    <row r="132" spans="1:17" x14ac:dyDescent="0.2">
      <c r="A132" s="2" t="str">
        <f t="shared" ref="A132:A163" si="24">IF(B132="","",ROW()-3)</f>
        <v/>
      </c>
      <c r="B132" s="3"/>
      <c r="C132" s="4"/>
      <c r="D132" s="5"/>
      <c r="E132" s="6" t="str">
        <f t="shared" ref="E132:E163" si="25">IF(C132="","",C132*1.35)</f>
        <v/>
      </c>
      <c r="F132" s="7"/>
      <c r="G132" s="20"/>
      <c r="H132" s="21"/>
      <c r="I132" s="21"/>
      <c r="J132" s="23" t="str">
        <f t="shared" ref="J132:J163" si="26">IF(OR(I132="",H132=""),"",MAX(0,I132-H132))</f>
        <v/>
      </c>
      <c r="K132" s="24"/>
      <c r="L132" s="4"/>
      <c r="M132" s="5"/>
      <c r="N132" s="2" t="str">
        <f t="shared" ref="N132:N163" ca="1" si="27">IF(D132="","",IF(M132&lt;&gt;"",IF(M132-D132&gt;=2,"Đủ","Chưa"),IF(NOW()-D132&gt;=2,"Đủ","Chưa")))</f>
        <v/>
      </c>
      <c r="O132" s="6" t="str">
        <f t="shared" ref="O132:O163" si="28">IF(L132="","",L132*0.06)</f>
        <v/>
      </c>
      <c r="P132" s="6" t="str">
        <f t="shared" ref="P132:P163" si="29">IF(OR(L132="",C132=""),"",L132*0.94-C132)</f>
        <v/>
      </c>
      <c r="Q132" s="3"/>
    </row>
    <row r="133" spans="1:17" x14ac:dyDescent="0.2">
      <c r="A133" s="2" t="str">
        <f t="shared" si="24"/>
        <v/>
      </c>
      <c r="B133" s="3"/>
      <c r="C133" s="4"/>
      <c r="D133" s="5"/>
      <c r="E133" s="6" t="str">
        <f t="shared" si="25"/>
        <v/>
      </c>
      <c r="F133" s="7"/>
      <c r="G133" s="20"/>
      <c r="H133" s="21"/>
      <c r="I133" s="21"/>
      <c r="J133" s="23" t="str">
        <f t="shared" si="26"/>
        <v/>
      </c>
      <c r="K133" s="24"/>
      <c r="L133" s="4"/>
      <c r="M133" s="5"/>
      <c r="N133" s="2" t="str">
        <f t="shared" ca="1" si="27"/>
        <v/>
      </c>
      <c r="O133" s="6" t="str">
        <f t="shared" si="28"/>
        <v/>
      </c>
      <c r="P133" s="6" t="str">
        <f t="shared" si="29"/>
        <v/>
      </c>
      <c r="Q133" s="3"/>
    </row>
    <row r="134" spans="1:17" x14ac:dyDescent="0.2">
      <c r="A134" s="2" t="str">
        <f t="shared" si="24"/>
        <v/>
      </c>
      <c r="B134" s="3"/>
      <c r="C134" s="4"/>
      <c r="D134" s="5"/>
      <c r="E134" s="6" t="str">
        <f t="shared" si="25"/>
        <v/>
      </c>
      <c r="F134" s="7"/>
      <c r="G134" s="20"/>
      <c r="H134" s="21"/>
      <c r="I134" s="21"/>
      <c r="J134" s="23" t="str">
        <f t="shared" si="26"/>
        <v/>
      </c>
      <c r="K134" s="24"/>
      <c r="L134" s="4"/>
      <c r="M134" s="5"/>
      <c r="N134" s="2" t="str">
        <f t="shared" ca="1" si="27"/>
        <v/>
      </c>
      <c r="O134" s="6" t="str">
        <f t="shared" si="28"/>
        <v/>
      </c>
      <c r="P134" s="6" t="str">
        <f t="shared" si="29"/>
        <v/>
      </c>
      <c r="Q134" s="3"/>
    </row>
    <row r="135" spans="1:17" x14ac:dyDescent="0.2">
      <c r="A135" s="2" t="str">
        <f t="shared" si="24"/>
        <v/>
      </c>
      <c r="B135" s="3"/>
      <c r="C135" s="4"/>
      <c r="D135" s="5"/>
      <c r="E135" s="6" t="str">
        <f t="shared" si="25"/>
        <v/>
      </c>
      <c r="F135" s="7"/>
      <c r="G135" s="20"/>
      <c r="H135" s="21"/>
      <c r="I135" s="21"/>
      <c r="J135" s="23" t="str">
        <f t="shared" si="26"/>
        <v/>
      </c>
      <c r="K135" s="24"/>
      <c r="L135" s="4"/>
      <c r="M135" s="5"/>
      <c r="N135" s="2" t="str">
        <f t="shared" ca="1" si="27"/>
        <v/>
      </c>
      <c r="O135" s="6" t="str">
        <f t="shared" si="28"/>
        <v/>
      </c>
      <c r="P135" s="6" t="str">
        <f t="shared" si="29"/>
        <v/>
      </c>
      <c r="Q135" s="3"/>
    </row>
    <row r="136" spans="1:17" x14ac:dyDescent="0.2">
      <c r="A136" s="2" t="str">
        <f t="shared" si="24"/>
        <v/>
      </c>
      <c r="B136" s="3"/>
      <c r="C136" s="4"/>
      <c r="D136" s="5"/>
      <c r="E136" s="6" t="str">
        <f t="shared" si="25"/>
        <v/>
      </c>
      <c r="F136" s="7"/>
      <c r="G136" s="20"/>
      <c r="H136" s="21"/>
      <c r="I136" s="21"/>
      <c r="J136" s="23" t="str">
        <f t="shared" si="26"/>
        <v/>
      </c>
      <c r="K136" s="24"/>
      <c r="L136" s="4"/>
      <c r="M136" s="5"/>
      <c r="N136" s="2" t="str">
        <f t="shared" ca="1" si="27"/>
        <v/>
      </c>
      <c r="O136" s="6" t="str">
        <f t="shared" si="28"/>
        <v/>
      </c>
      <c r="P136" s="6" t="str">
        <f t="shared" si="29"/>
        <v/>
      </c>
      <c r="Q136" s="3"/>
    </row>
    <row r="137" spans="1:17" x14ac:dyDescent="0.2">
      <c r="A137" s="2" t="str">
        <f t="shared" si="24"/>
        <v/>
      </c>
      <c r="B137" s="3"/>
      <c r="C137" s="4"/>
      <c r="D137" s="5"/>
      <c r="E137" s="6" t="str">
        <f t="shared" si="25"/>
        <v/>
      </c>
      <c r="F137" s="7"/>
      <c r="G137" s="20"/>
      <c r="H137" s="21"/>
      <c r="I137" s="21"/>
      <c r="J137" s="23" t="str">
        <f t="shared" si="26"/>
        <v/>
      </c>
      <c r="K137" s="24"/>
      <c r="L137" s="4"/>
      <c r="M137" s="5"/>
      <c r="N137" s="2" t="str">
        <f t="shared" ca="1" si="27"/>
        <v/>
      </c>
      <c r="O137" s="6" t="str">
        <f t="shared" si="28"/>
        <v/>
      </c>
      <c r="P137" s="6" t="str">
        <f t="shared" si="29"/>
        <v/>
      </c>
      <c r="Q137" s="3"/>
    </row>
    <row r="138" spans="1:17" x14ac:dyDescent="0.2">
      <c r="A138" s="2" t="str">
        <f t="shared" si="24"/>
        <v/>
      </c>
      <c r="B138" s="3"/>
      <c r="C138" s="4"/>
      <c r="D138" s="5"/>
      <c r="E138" s="6" t="str">
        <f t="shared" si="25"/>
        <v/>
      </c>
      <c r="F138" s="7"/>
      <c r="G138" s="20"/>
      <c r="H138" s="21"/>
      <c r="I138" s="21"/>
      <c r="J138" s="23" t="str">
        <f t="shared" si="26"/>
        <v/>
      </c>
      <c r="K138" s="24"/>
      <c r="L138" s="4"/>
      <c r="M138" s="5"/>
      <c r="N138" s="2" t="str">
        <f t="shared" ca="1" si="27"/>
        <v/>
      </c>
      <c r="O138" s="6" t="str">
        <f t="shared" si="28"/>
        <v/>
      </c>
      <c r="P138" s="6" t="str">
        <f t="shared" si="29"/>
        <v/>
      </c>
      <c r="Q138" s="3"/>
    </row>
    <row r="139" spans="1:17" x14ac:dyDescent="0.2">
      <c r="A139" s="2" t="str">
        <f t="shared" si="24"/>
        <v/>
      </c>
      <c r="B139" s="3"/>
      <c r="C139" s="4"/>
      <c r="D139" s="5"/>
      <c r="E139" s="6" t="str">
        <f t="shared" si="25"/>
        <v/>
      </c>
      <c r="F139" s="7"/>
      <c r="G139" s="20"/>
      <c r="H139" s="21"/>
      <c r="I139" s="21"/>
      <c r="J139" s="23" t="str">
        <f t="shared" si="26"/>
        <v/>
      </c>
      <c r="K139" s="24"/>
      <c r="L139" s="4"/>
      <c r="M139" s="5"/>
      <c r="N139" s="2" t="str">
        <f t="shared" ca="1" si="27"/>
        <v/>
      </c>
      <c r="O139" s="6" t="str">
        <f t="shared" si="28"/>
        <v/>
      </c>
      <c r="P139" s="6" t="str">
        <f t="shared" si="29"/>
        <v/>
      </c>
      <c r="Q139" s="3"/>
    </row>
    <row r="140" spans="1:17" x14ac:dyDescent="0.2">
      <c r="A140" s="2" t="str">
        <f t="shared" si="24"/>
        <v/>
      </c>
      <c r="B140" s="3"/>
      <c r="C140" s="4"/>
      <c r="D140" s="5"/>
      <c r="E140" s="6" t="str">
        <f t="shared" si="25"/>
        <v/>
      </c>
      <c r="F140" s="7"/>
      <c r="G140" s="20"/>
      <c r="H140" s="21"/>
      <c r="I140" s="21"/>
      <c r="J140" s="23" t="str">
        <f t="shared" si="26"/>
        <v/>
      </c>
      <c r="K140" s="24"/>
      <c r="L140" s="4"/>
      <c r="M140" s="5"/>
      <c r="N140" s="2" t="str">
        <f t="shared" ca="1" si="27"/>
        <v/>
      </c>
      <c r="O140" s="6" t="str">
        <f t="shared" si="28"/>
        <v/>
      </c>
      <c r="P140" s="6" t="str">
        <f t="shared" si="29"/>
        <v/>
      </c>
      <c r="Q140" s="3"/>
    </row>
    <row r="141" spans="1:17" x14ac:dyDescent="0.2">
      <c r="A141" s="2" t="str">
        <f t="shared" si="24"/>
        <v/>
      </c>
      <c r="B141" s="3"/>
      <c r="C141" s="4"/>
      <c r="D141" s="5"/>
      <c r="E141" s="6" t="str">
        <f t="shared" si="25"/>
        <v/>
      </c>
      <c r="F141" s="7"/>
      <c r="G141" s="20"/>
      <c r="H141" s="21"/>
      <c r="I141" s="21"/>
      <c r="J141" s="23" t="str">
        <f t="shared" si="26"/>
        <v/>
      </c>
      <c r="K141" s="24"/>
      <c r="L141" s="4"/>
      <c r="M141" s="5"/>
      <c r="N141" s="2" t="str">
        <f t="shared" ca="1" si="27"/>
        <v/>
      </c>
      <c r="O141" s="6" t="str">
        <f t="shared" si="28"/>
        <v/>
      </c>
      <c r="P141" s="6" t="str">
        <f t="shared" si="29"/>
        <v/>
      </c>
      <c r="Q141" s="3"/>
    </row>
    <row r="142" spans="1:17" x14ac:dyDescent="0.2">
      <c r="A142" s="2" t="str">
        <f t="shared" si="24"/>
        <v/>
      </c>
      <c r="B142" s="3"/>
      <c r="C142" s="4"/>
      <c r="D142" s="5"/>
      <c r="E142" s="6" t="str">
        <f t="shared" si="25"/>
        <v/>
      </c>
      <c r="F142" s="7"/>
      <c r="G142" s="20"/>
      <c r="H142" s="21"/>
      <c r="I142" s="21"/>
      <c r="J142" s="23" t="str">
        <f t="shared" si="26"/>
        <v/>
      </c>
      <c r="K142" s="24"/>
      <c r="L142" s="4"/>
      <c r="M142" s="5"/>
      <c r="N142" s="2" t="str">
        <f t="shared" ca="1" si="27"/>
        <v/>
      </c>
      <c r="O142" s="6" t="str">
        <f t="shared" si="28"/>
        <v/>
      </c>
      <c r="P142" s="6" t="str">
        <f t="shared" si="29"/>
        <v/>
      </c>
      <c r="Q142" s="3"/>
    </row>
    <row r="143" spans="1:17" x14ac:dyDescent="0.2">
      <c r="A143" s="2" t="str">
        <f t="shared" si="24"/>
        <v/>
      </c>
      <c r="B143" s="3"/>
      <c r="C143" s="4"/>
      <c r="D143" s="5"/>
      <c r="E143" s="6" t="str">
        <f t="shared" si="25"/>
        <v/>
      </c>
      <c r="F143" s="7"/>
      <c r="G143" s="20"/>
      <c r="H143" s="21"/>
      <c r="I143" s="21"/>
      <c r="J143" s="23" t="str">
        <f t="shared" si="26"/>
        <v/>
      </c>
      <c r="K143" s="24"/>
      <c r="L143" s="4"/>
      <c r="M143" s="5"/>
      <c r="N143" s="2" t="str">
        <f t="shared" ca="1" si="27"/>
        <v/>
      </c>
      <c r="O143" s="6" t="str">
        <f t="shared" si="28"/>
        <v/>
      </c>
      <c r="P143" s="6" t="str">
        <f t="shared" si="29"/>
        <v/>
      </c>
      <c r="Q143" s="3"/>
    </row>
    <row r="144" spans="1:17" x14ac:dyDescent="0.2">
      <c r="A144" s="2" t="str">
        <f t="shared" si="24"/>
        <v/>
      </c>
      <c r="B144" s="3"/>
      <c r="C144" s="4"/>
      <c r="D144" s="5"/>
      <c r="E144" s="6" t="str">
        <f t="shared" si="25"/>
        <v/>
      </c>
      <c r="F144" s="7"/>
      <c r="G144" s="20"/>
      <c r="H144" s="21"/>
      <c r="I144" s="21"/>
      <c r="J144" s="23" t="str">
        <f t="shared" si="26"/>
        <v/>
      </c>
      <c r="K144" s="24"/>
      <c r="L144" s="4"/>
      <c r="M144" s="5"/>
      <c r="N144" s="2" t="str">
        <f t="shared" ca="1" si="27"/>
        <v/>
      </c>
      <c r="O144" s="6" t="str">
        <f t="shared" si="28"/>
        <v/>
      </c>
      <c r="P144" s="6" t="str">
        <f t="shared" si="29"/>
        <v/>
      </c>
      <c r="Q144" s="3"/>
    </row>
    <row r="145" spans="1:17" x14ac:dyDescent="0.2">
      <c r="A145" s="2" t="str">
        <f t="shared" si="24"/>
        <v/>
      </c>
      <c r="B145" s="3"/>
      <c r="C145" s="4"/>
      <c r="D145" s="5"/>
      <c r="E145" s="6" t="str">
        <f t="shared" si="25"/>
        <v/>
      </c>
      <c r="F145" s="7"/>
      <c r="G145" s="20"/>
      <c r="H145" s="21"/>
      <c r="I145" s="21"/>
      <c r="J145" s="23" t="str">
        <f t="shared" si="26"/>
        <v/>
      </c>
      <c r="K145" s="24"/>
      <c r="L145" s="4"/>
      <c r="M145" s="5"/>
      <c r="N145" s="2" t="str">
        <f t="shared" ca="1" si="27"/>
        <v/>
      </c>
      <c r="O145" s="6" t="str">
        <f t="shared" si="28"/>
        <v/>
      </c>
      <c r="P145" s="6" t="str">
        <f t="shared" si="29"/>
        <v/>
      </c>
      <c r="Q145" s="3"/>
    </row>
    <row r="146" spans="1:17" x14ac:dyDescent="0.2">
      <c r="A146" s="2" t="str">
        <f t="shared" si="24"/>
        <v/>
      </c>
      <c r="B146" s="3"/>
      <c r="C146" s="4"/>
      <c r="D146" s="5"/>
      <c r="E146" s="6" t="str">
        <f t="shared" si="25"/>
        <v/>
      </c>
      <c r="F146" s="7"/>
      <c r="G146" s="20"/>
      <c r="H146" s="21"/>
      <c r="I146" s="21"/>
      <c r="J146" s="23" t="str">
        <f t="shared" si="26"/>
        <v/>
      </c>
      <c r="K146" s="24"/>
      <c r="L146" s="4"/>
      <c r="M146" s="5"/>
      <c r="N146" s="2" t="str">
        <f t="shared" ca="1" si="27"/>
        <v/>
      </c>
      <c r="O146" s="6" t="str">
        <f t="shared" si="28"/>
        <v/>
      </c>
      <c r="P146" s="6" t="str">
        <f t="shared" si="29"/>
        <v/>
      </c>
      <c r="Q146" s="3"/>
    </row>
    <row r="147" spans="1:17" x14ac:dyDescent="0.2">
      <c r="A147" s="2" t="str">
        <f t="shared" si="24"/>
        <v/>
      </c>
      <c r="B147" s="3"/>
      <c r="C147" s="4"/>
      <c r="D147" s="5"/>
      <c r="E147" s="6" t="str">
        <f t="shared" si="25"/>
        <v/>
      </c>
      <c r="F147" s="7"/>
      <c r="G147" s="20"/>
      <c r="H147" s="21"/>
      <c r="I147" s="21"/>
      <c r="J147" s="23" t="str">
        <f t="shared" si="26"/>
        <v/>
      </c>
      <c r="K147" s="24"/>
      <c r="L147" s="4"/>
      <c r="M147" s="5"/>
      <c r="N147" s="2" t="str">
        <f t="shared" ca="1" si="27"/>
        <v/>
      </c>
      <c r="O147" s="6" t="str">
        <f t="shared" si="28"/>
        <v/>
      </c>
      <c r="P147" s="6" t="str">
        <f t="shared" si="29"/>
        <v/>
      </c>
      <c r="Q147" s="3"/>
    </row>
    <row r="148" spans="1:17" x14ac:dyDescent="0.2">
      <c r="A148" s="2" t="str">
        <f t="shared" si="24"/>
        <v/>
      </c>
      <c r="B148" s="3"/>
      <c r="C148" s="4"/>
      <c r="D148" s="5"/>
      <c r="E148" s="6" t="str">
        <f t="shared" si="25"/>
        <v/>
      </c>
      <c r="F148" s="7"/>
      <c r="G148" s="20"/>
      <c r="H148" s="21"/>
      <c r="I148" s="21"/>
      <c r="J148" s="23" t="str">
        <f t="shared" si="26"/>
        <v/>
      </c>
      <c r="K148" s="24"/>
      <c r="L148" s="4"/>
      <c r="M148" s="5"/>
      <c r="N148" s="2" t="str">
        <f t="shared" ca="1" si="27"/>
        <v/>
      </c>
      <c r="O148" s="6" t="str">
        <f t="shared" si="28"/>
        <v/>
      </c>
      <c r="P148" s="6" t="str">
        <f t="shared" si="29"/>
        <v/>
      </c>
      <c r="Q148" s="3"/>
    </row>
    <row r="149" spans="1:17" x14ac:dyDescent="0.2">
      <c r="A149" s="2" t="str">
        <f t="shared" si="24"/>
        <v/>
      </c>
      <c r="B149" s="3"/>
      <c r="C149" s="4"/>
      <c r="D149" s="5"/>
      <c r="E149" s="6" t="str">
        <f t="shared" si="25"/>
        <v/>
      </c>
      <c r="F149" s="7"/>
      <c r="G149" s="20"/>
      <c r="H149" s="21"/>
      <c r="I149" s="21"/>
      <c r="J149" s="23" t="str">
        <f t="shared" si="26"/>
        <v/>
      </c>
      <c r="K149" s="24"/>
      <c r="L149" s="4"/>
      <c r="M149" s="5"/>
      <c r="N149" s="2" t="str">
        <f t="shared" ca="1" si="27"/>
        <v/>
      </c>
      <c r="O149" s="6" t="str">
        <f t="shared" si="28"/>
        <v/>
      </c>
      <c r="P149" s="6" t="str">
        <f t="shared" si="29"/>
        <v/>
      </c>
      <c r="Q149" s="3"/>
    </row>
    <row r="150" spans="1:17" x14ac:dyDescent="0.2">
      <c r="A150" s="2" t="str">
        <f t="shared" si="24"/>
        <v/>
      </c>
      <c r="B150" s="3"/>
      <c r="C150" s="4"/>
      <c r="D150" s="5"/>
      <c r="E150" s="6" t="str">
        <f t="shared" si="25"/>
        <v/>
      </c>
      <c r="F150" s="7"/>
      <c r="G150" s="20"/>
      <c r="H150" s="21"/>
      <c r="I150" s="21"/>
      <c r="J150" s="23" t="str">
        <f t="shared" si="26"/>
        <v/>
      </c>
      <c r="K150" s="24"/>
      <c r="L150" s="4"/>
      <c r="M150" s="5"/>
      <c r="N150" s="2" t="str">
        <f t="shared" ca="1" si="27"/>
        <v/>
      </c>
      <c r="O150" s="6" t="str">
        <f t="shared" si="28"/>
        <v/>
      </c>
      <c r="P150" s="6" t="str">
        <f t="shared" si="29"/>
        <v/>
      </c>
      <c r="Q150" s="3"/>
    </row>
    <row r="151" spans="1:17" x14ac:dyDescent="0.2">
      <c r="A151" s="2" t="str">
        <f t="shared" si="24"/>
        <v/>
      </c>
      <c r="B151" s="3"/>
      <c r="C151" s="4"/>
      <c r="D151" s="5"/>
      <c r="E151" s="6" t="str">
        <f t="shared" si="25"/>
        <v/>
      </c>
      <c r="F151" s="7"/>
      <c r="G151" s="20"/>
      <c r="H151" s="21"/>
      <c r="I151" s="21"/>
      <c r="J151" s="23" t="str">
        <f t="shared" si="26"/>
        <v/>
      </c>
      <c r="K151" s="24"/>
      <c r="L151" s="4"/>
      <c r="M151" s="5"/>
      <c r="N151" s="2" t="str">
        <f t="shared" ca="1" si="27"/>
        <v/>
      </c>
      <c r="O151" s="6" t="str">
        <f t="shared" si="28"/>
        <v/>
      </c>
      <c r="P151" s="6" t="str">
        <f t="shared" si="29"/>
        <v/>
      </c>
      <c r="Q151" s="3"/>
    </row>
    <row r="152" spans="1:17" x14ac:dyDescent="0.2">
      <c r="A152" s="2" t="str">
        <f t="shared" si="24"/>
        <v/>
      </c>
      <c r="B152" s="3"/>
      <c r="C152" s="4"/>
      <c r="D152" s="5"/>
      <c r="E152" s="6" t="str">
        <f t="shared" si="25"/>
        <v/>
      </c>
      <c r="F152" s="7"/>
      <c r="G152" s="20"/>
      <c r="H152" s="21"/>
      <c r="I152" s="21"/>
      <c r="J152" s="23" t="str">
        <f t="shared" si="26"/>
        <v/>
      </c>
      <c r="K152" s="24"/>
      <c r="L152" s="4"/>
      <c r="M152" s="5"/>
      <c r="N152" s="2" t="str">
        <f t="shared" ca="1" si="27"/>
        <v/>
      </c>
      <c r="O152" s="6" t="str">
        <f t="shared" si="28"/>
        <v/>
      </c>
      <c r="P152" s="6" t="str">
        <f t="shared" si="29"/>
        <v/>
      </c>
      <c r="Q152" s="3"/>
    </row>
    <row r="153" spans="1:17" x14ac:dyDescent="0.2">
      <c r="A153" s="2" t="str">
        <f t="shared" si="24"/>
        <v/>
      </c>
      <c r="B153" s="3"/>
      <c r="C153" s="4"/>
      <c r="D153" s="5"/>
      <c r="E153" s="6" t="str">
        <f t="shared" si="25"/>
        <v/>
      </c>
      <c r="F153" s="7"/>
      <c r="G153" s="20"/>
      <c r="H153" s="21"/>
      <c r="I153" s="21"/>
      <c r="J153" s="23" t="str">
        <f t="shared" si="26"/>
        <v/>
      </c>
      <c r="K153" s="24"/>
      <c r="L153" s="4"/>
      <c r="M153" s="5"/>
      <c r="N153" s="2" t="str">
        <f t="shared" ca="1" si="27"/>
        <v/>
      </c>
      <c r="O153" s="6" t="str">
        <f t="shared" si="28"/>
        <v/>
      </c>
      <c r="P153" s="6" t="str">
        <f t="shared" si="29"/>
        <v/>
      </c>
      <c r="Q153" s="3"/>
    </row>
    <row r="154" spans="1:17" x14ac:dyDescent="0.2">
      <c r="A154" s="2" t="str">
        <f t="shared" si="24"/>
        <v/>
      </c>
      <c r="B154" s="3"/>
      <c r="C154" s="4"/>
      <c r="D154" s="5"/>
      <c r="E154" s="6" t="str">
        <f t="shared" si="25"/>
        <v/>
      </c>
      <c r="F154" s="7"/>
      <c r="G154" s="20"/>
      <c r="H154" s="21"/>
      <c r="I154" s="21"/>
      <c r="J154" s="23" t="str">
        <f t="shared" si="26"/>
        <v/>
      </c>
      <c r="K154" s="24"/>
      <c r="L154" s="4"/>
      <c r="M154" s="5"/>
      <c r="N154" s="2" t="str">
        <f t="shared" ca="1" si="27"/>
        <v/>
      </c>
      <c r="O154" s="6" t="str">
        <f t="shared" si="28"/>
        <v/>
      </c>
      <c r="P154" s="6" t="str">
        <f t="shared" si="29"/>
        <v/>
      </c>
      <c r="Q154" s="3"/>
    </row>
    <row r="155" spans="1:17" x14ac:dyDescent="0.2">
      <c r="A155" s="2" t="str">
        <f t="shared" si="24"/>
        <v/>
      </c>
      <c r="B155" s="3"/>
      <c r="C155" s="4"/>
      <c r="D155" s="5"/>
      <c r="E155" s="6" t="str">
        <f t="shared" si="25"/>
        <v/>
      </c>
      <c r="F155" s="7"/>
      <c r="G155" s="20"/>
      <c r="H155" s="21"/>
      <c r="I155" s="21"/>
      <c r="J155" s="23" t="str">
        <f t="shared" si="26"/>
        <v/>
      </c>
      <c r="K155" s="24"/>
      <c r="L155" s="4"/>
      <c r="M155" s="5"/>
      <c r="N155" s="2" t="str">
        <f t="shared" ca="1" si="27"/>
        <v/>
      </c>
      <c r="O155" s="6" t="str">
        <f t="shared" si="28"/>
        <v/>
      </c>
      <c r="P155" s="6" t="str">
        <f t="shared" si="29"/>
        <v/>
      </c>
      <c r="Q155" s="3"/>
    </row>
    <row r="156" spans="1:17" x14ac:dyDescent="0.2">
      <c r="A156" s="2" t="str">
        <f t="shared" si="24"/>
        <v/>
      </c>
      <c r="B156" s="3"/>
      <c r="C156" s="4"/>
      <c r="D156" s="5"/>
      <c r="E156" s="6" t="str">
        <f t="shared" si="25"/>
        <v/>
      </c>
      <c r="F156" s="7"/>
      <c r="G156" s="20"/>
      <c r="H156" s="21"/>
      <c r="I156" s="21"/>
      <c r="J156" s="23" t="str">
        <f t="shared" si="26"/>
        <v/>
      </c>
      <c r="K156" s="24"/>
      <c r="L156" s="4"/>
      <c r="M156" s="5"/>
      <c r="N156" s="2" t="str">
        <f t="shared" ca="1" si="27"/>
        <v/>
      </c>
      <c r="O156" s="6" t="str">
        <f t="shared" si="28"/>
        <v/>
      </c>
      <c r="P156" s="6" t="str">
        <f t="shared" si="29"/>
        <v/>
      </c>
      <c r="Q156" s="3"/>
    </row>
    <row r="157" spans="1:17" x14ac:dyDescent="0.2">
      <c r="A157" s="2" t="str">
        <f t="shared" si="24"/>
        <v/>
      </c>
      <c r="B157" s="3"/>
      <c r="C157" s="4"/>
      <c r="D157" s="5"/>
      <c r="E157" s="6" t="str">
        <f t="shared" si="25"/>
        <v/>
      </c>
      <c r="F157" s="7"/>
      <c r="G157" s="20"/>
      <c r="H157" s="21"/>
      <c r="I157" s="21"/>
      <c r="J157" s="23" t="str">
        <f t="shared" si="26"/>
        <v/>
      </c>
      <c r="K157" s="24"/>
      <c r="L157" s="4"/>
      <c r="M157" s="5"/>
      <c r="N157" s="2" t="str">
        <f t="shared" ca="1" si="27"/>
        <v/>
      </c>
      <c r="O157" s="6" t="str">
        <f t="shared" si="28"/>
        <v/>
      </c>
      <c r="P157" s="6" t="str">
        <f t="shared" si="29"/>
        <v/>
      </c>
      <c r="Q157" s="3"/>
    </row>
    <row r="158" spans="1:17" x14ac:dyDescent="0.2">
      <c r="A158" s="2" t="str">
        <f t="shared" si="24"/>
        <v/>
      </c>
      <c r="B158" s="3"/>
      <c r="C158" s="4"/>
      <c r="D158" s="5"/>
      <c r="E158" s="6" t="str">
        <f t="shared" si="25"/>
        <v/>
      </c>
      <c r="F158" s="7"/>
      <c r="G158" s="20"/>
      <c r="H158" s="21"/>
      <c r="I158" s="21"/>
      <c r="J158" s="23" t="str">
        <f t="shared" si="26"/>
        <v/>
      </c>
      <c r="K158" s="24"/>
      <c r="L158" s="4"/>
      <c r="M158" s="5"/>
      <c r="N158" s="2" t="str">
        <f t="shared" ca="1" si="27"/>
        <v/>
      </c>
      <c r="O158" s="6" t="str">
        <f t="shared" si="28"/>
        <v/>
      </c>
      <c r="P158" s="6" t="str">
        <f t="shared" si="29"/>
        <v/>
      </c>
      <c r="Q158" s="3"/>
    </row>
    <row r="159" spans="1:17" x14ac:dyDescent="0.2">
      <c r="A159" s="2" t="str">
        <f t="shared" si="24"/>
        <v/>
      </c>
      <c r="B159" s="3"/>
      <c r="C159" s="4"/>
      <c r="D159" s="5"/>
      <c r="E159" s="6" t="str">
        <f t="shared" si="25"/>
        <v/>
      </c>
      <c r="F159" s="7"/>
      <c r="G159" s="20"/>
      <c r="H159" s="21"/>
      <c r="I159" s="21"/>
      <c r="J159" s="23" t="str">
        <f t="shared" si="26"/>
        <v/>
      </c>
      <c r="K159" s="24"/>
      <c r="L159" s="4"/>
      <c r="M159" s="5"/>
      <c r="N159" s="2" t="str">
        <f t="shared" ca="1" si="27"/>
        <v/>
      </c>
      <c r="O159" s="6" t="str">
        <f t="shared" si="28"/>
        <v/>
      </c>
      <c r="P159" s="6" t="str">
        <f t="shared" si="29"/>
        <v/>
      </c>
      <c r="Q159" s="3"/>
    </row>
    <row r="160" spans="1:17" x14ac:dyDescent="0.2">
      <c r="A160" s="2" t="str">
        <f t="shared" si="24"/>
        <v/>
      </c>
      <c r="B160" s="3"/>
      <c r="C160" s="4"/>
      <c r="D160" s="5"/>
      <c r="E160" s="6" t="str">
        <f t="shared" si="25"/>
        <v/>
      </c>
      <c r="F160" s="7"/>
      <c r="G160" s="20"/>
      <c r="H160" s="21"/>
      <c r="I160" s="21"/>
      <c r="J160" s="23" t="str">
        <f t="shared" si="26"/>
        <v/>
      </c>
      <c r="K160" s="24"/>
      <c r="L160" s="4"/>
      <c r="M160" s="5"/>
      <c r="N160" s="2" t="str">
        <f t="shared" ca="1" si="27"/>
        <v/>
      </c>
      <c r="O160" s="6" t="str">
        <f t="shared" si="28"/>
        <v/>
      </c>
      <c r="P160" s="6" t="str">
        <f t="shared" si="29"/>
        <v/>
      </c>
      <c r="Q160" s="3"/>
    </row>
    <row r="161" spans="1:17" x14ac:dyDescent="0.2">
      <c r="A161" s="2" t="str">
        <f t="shared" si="24"/>
        <v/>
      </c>
      <c r="B161" s="3"/>
      <c r="C161" s="4"/>
      <c r="D161" s="5"/>
      <c r="E161" s="6" t="str">
        <f t="shared" si="25"/>
        <v/>
      </c>
      <c r="F161" s="7"/>
      <c r="G161" s="20"/>
      <c r="H161" s="21"/>
      <c r="I161" s="21"/>
      <c r="J161" s="23" t="str">
        <f t="shared" si="26"/>
        <v/>
      </c>
      <c r="K161" s="24"/>
      <c r="L161" s="4"/>
      <c r="M161" s="5"/>
      <c r="N161" s="2" t="str">
        <f t="shared" ca="1" si="27"/>
        <v/>
      </c>
      <c r="O161" s="6" t="str">
        <f t="shared" si="28"/>
        <v/>
      </c>
      <c r="P161" s="6" t="str">
        <f t="shared" si="29"/>
        <v/>
      </c>
      <c r="Q161" s="3"/>
    </row>
    <row r="162" spans="1:17" x14ac:dyDescent="0.2">
      <c r="A162" s="2" t="str">
        <f t="shared" si="24"/>
        <v/>
      </c>
      <c r="B162" s="3"/>
      <c r="C162" s="4"/>
      <c r="D162" s="5"/>
      <c r="E162" s="6" t="str">
        <f t="shared" si="25"/>
        <v/>
      </c>
      <c r="F162" s="7"/>
      <c r="G162" s="20"/>
      <c r="H162" s="21"/>
      <c r="I162" s="21"/>
      <c r="J162" s="23" t="str">
        <f t="shared" si="26"/>
        <v/>
      </c>
      <c r="K162" s="24"/>
      <c r="L162" s="4"/>
      <c r="M162" s="5"/>
      <c r="N162" s="2" t="str">
        <f t="shared" ca="1" si="27"/>
        <v/>
      </c>
      <c r="O162" s="6" t="str">
        <f t="shared" si="28"/>
        <v/>
      </c>
      <c r="P162" s="6" t="str">
        <f t="shared" si="29"/>
        <v/>
      </c>
      <c r="Q162" s="3"/>
    </row>
    <row r="163" spans="1:17" x14ac:dyDescent="0.2">
      <c r="A163" s="2" t="str">
        <f t="shared" si="24"/>
        <v/>
      </c>
      <c r="B163" s="3"/>
      <c r="C163" s="4"/>
      <c r="D163" s="5"/>
      <c r="E163" s="6" t="str">
        <f t="shared" si="25"/>
        <v/>
      </c>
      <c r="F163" s="7"/>
      <c r="G163" s="20"/>
      <c r="H163" s="21"/>
      <c r="I163" s="21"/>
      <c r="J163" s="23" t="str">
        <f t="shared" si="26"/>
        <v/>
      </c>
      <c r="K163" s="24"/>
      <c r="L163" s="4"/>
      <c r="M163" s="5"/>
      <c r="N163" s="2" t="str">
        <f t="shared" ca="1" si="27"/>
        <v/>
      </c>
      <c r="O163" s="6" t="str">
        <f t="shared" si="28"/>
        <v/>
      </c>
      <c r="P163" s="6" t="str">
        <f t="shared" si="29"/>
        <v/>
      </c>
      <c r="Q163" s="3"/>
    </row>
    <row r="164" spans="1:17" x14ac:dyDescent="0.2">
      <c r="A164" s="2" t="str">
        <f t="shared" ref="A164:A195" si="30">IF(B164="","",ROW()-3)</f>
        <v/>
      </c>
      <c r="B164" s="3"/>
      <c r="C164" s="4"/>
      <c r="D164" s="5"/>
      <c r="E164" s="6" t="str">
        <f t="shared" ref="E164:E195" si="31">IF(C164="","",C164*1.35)</f>
        <v/>
      </c>
      <c r="F164" s="7"/>
      <c r="G164" s="20"/>
      <c r="H164" s="21"/>
      <c r="I164" s="21"/>
      <c r="J164" s="23" t="str">
        <f t="shared" ref="J164:J195" si="32">IF(OR(I164="",H164=""),"",MAX(0,I164-H164))</f>
        <v/>
      </c>
      <c r="K164" s="24"/>
      <c r="L164" s="4"/>
      <c r="M164" s="5"/>
      <c r="N164" s="2" t="str">
        <f t="shared" ref="N164:N195" ca="1" si="33">IF(D164="","",IF(M164&lt;&gt;"",IF(M164-D164&gt;=2,"Đủ","Chưa"),IF(NOW()-D164&gt;=2,"Đủ","Chưa")))</f>
        <v/>
      </c>
      <c r="O164" s="6" t="str">
        <f t="shared" ref="O164:O195" si="34">IF(L164="","",L164*0.06)</f>
        <v/>
      </c>
      <c r="P164" s="6" t="str">
        <f t="shared" ref="P164:P195" si="35">IF(OR(L164="",C164=""),"",L164*0.94-C164)</f>
        <v/>
      </c>
      <c r="Q164" s="3"/>
    </row>
    <row r="165" spans="1:17" x14ac:dyDescent="0.2">
      <c r="A165" s="2" t="str">
        <f t="shared" si="30"/>
        <v/>
      </c>
      <c r="B165" s="3"/>
      <c r="C165" s="4"/>
      <c r="D165" s="5"/>
      <c r="E165" s="6" t="str">
        <f t="shared" si="31"/>
        <v/>
      </c>
      <c r="F165" s="7"/>
      <c r="G165" s="20"/>
      <c r="H165" s="21"/>
      <c r="I165" s="21"/>
      <c r="J165" s="23" t="str">
        <f t="shared" si="32"/>
        <v/>
      </c>
      <c r="K165" s="24"/>
      <c r="L165" s="4"/>
      <c r="M165" s="5"/>
      <c r="N165" s="2" t="str">
        <f t="shared" ca="1" si="33"/>
        <v/>
      </c>
      <c r="O165" s="6" t="str">
        <f t="shared" si="34"/>
        <v/>
      </c>
      <c r="P165" s="6" t="str">
        <f t="shared" si="35"/>
        <v/>
      </c>
      <c r="Q165" s="3"/>
    </row>
    <row r="166" spans="1:17" x14ac:dyDescent="0.2">
      <c r="A166" s="2" t="str">
        <f t="shared" si="30"/>
        <v/>
      </c>
      <c r="B166" s="3"/>
      <c r="C166" s="4"/>
      <c r="D166" s="5"/>
      <c r="E166" s="6" t="str">
        <f t="shared" si="31"/>
        <v/>
      </c>
      <c r="F166" s="7"/>
      <c r="G166" s="20"/>
      <c r="H166" s="21"/>
      <c r="I166" s="21"/>
      <c r="J166" s="23" t="str">
        <f t="shared" si="32"/>
        <v/>
      </c>
      <c r="K166" s="24"/>
      <c r="L166" s="4"/>
      <c r="M166" s="5"/>
      <c r="N166" s="2" t="str">
        <f t="shared" ca="1" si="33"/>
        <v/>
      </c>
      <c r="O166" s="6" t="str">
        <f t="shared" si="34"/>
        <v/>
      </c>
      <c r="P166" s="6" t="str">
        <f t="shared" si="35"/>
        <v/>
      </c>
      <c r="Q166" s="3"/>
    </row>
    <row r="167" spans="1:17" x14ac:dyDescent="0.2">
      <c r="A167" s="2" t="str">
        <f t="shared" si="30"/>
        <v/>
      </c>
      <c r="B167" s="3"/>
      <c r="C167" s="4"/>
      <c r="D167" s="5"/>
      <c r="E167" s="6" t="str">
        <f t="shared" si="31"/>
        <v/>
      </c>
      <c r="F167" s="7"/>
      <c r="G167" s="20"/>
      <c r="H167" s="21"/>
      <c r="I167" s="21"/>
      <c r="J167" s="23" t="str">
        <f t="shared" si="32"/>
        <v/>
      </c>
      <c r="K167" s="24"/>
      <c r="L167" s="4"/>
      <c r="M167" s="5"/>
      <c r="N167" s="2" t="str">
        <f t="shared" ca="1" si="33"/>
        <v/>
      </c>
      <c r="O167" s="6" t="str">
        <f t="shared" si="34"/>
        <v/>
      </c>
      <c r="P167" s="6" t="str">
        <f t="shared" si="35"/>
        <v/>
      </c>
      <c r="Q167" s="3"/>
    </row>
    <row r="168" spans="1:17" x14ac:dyDescent="0.2">
      <c r="A168" s="2" t="str">
        <f t="shared" si="30"/>
        <v/>
      </c>
      <c r="B168" s="3"/>
      <c r="C168" s="4"/>
      <c r="D168" s="5"/>
      <c r="E168" s="6" t="str">
        <f t="shared" si="31"/>
        <v/>
      </c>
      <c r="F168" s="7"/>
      <c r="G168" s="20"/>
      <c r="H168" s="21"/>
      <c r="I168" s="21"/>
      <c r="J168" s="23" t="str">
        <f t="shared" si="32"/>
        <v/>
      </c>
      <c r="K168" s="24"/>
      <c r="L168" s="4"/>
      <c r="M168" s="5"/>
      <c r="N168" s="2" t="str">
        <f t="shared" ca="1" si="33"/>
        <v/>
      </c>
      <c r="O168" s="6" t="str">
        <f t="shared" si="34"/>
        <v/>
      </c>
      <c r="P168" s="6" t="str">
        <f t="shared" si="35"/>
        <v/>
      </c>
      <c r="Q168" s="3"/>
    </row>
    <row r="169" spans="1:17" x14ac:dyDescent="0.2">
      <c r="A169" s="2" t="str">
        <f t="shared" si="30"/>
        <v/>
      </c>
      <c r="B169" s="3"/>
      <c r="C169" s="4"/>
      <c r="D169" s="5"/>
      <c r="E169" s="6" t="str">
        <f t="shared" si="31"/>
        <v/>
      </c>
      <c r="F169" s="7"/>
      <c r="G169" s="20"/>
      <c r="H169" s="21"/>
      <c r="I169" s="21"/>
      <c r="J169" s="23" t="str">
        <f t="shared" si="32"/>
        <v/>
      </c>
      <c r="K169" s="24"/>
      <c r="L169" s="4"/>
      <c r="M169" s="5"/>
      <c r="N169" s="2" t="str">
        <f t="shared" ca="1" si="33"/>
        <v/>
      </c>
      <c r="O169" s="6" t="str">
        <f t="shared" si="34"/>
        <v/>
      </c>
      <c r="P169" s="6" t="str">
        <f t="shared" si="35"/>
        <v/>
      </c>
      <c r="Q169" s="3"/>
    </row>
    <row r="170" spans="1:17" x14ac:dyDescent="0.2">
      <c r="A170" s="2" t="str">
        <f t="shared" si="30"/>
        <v/>
      </c>
      <c r="B170" s="3"/>
      <c r="C170" s="4"/>
      <c r="D170" s="5"/>
      <c r="E170" s="6" t="str">
        <f t="shared" si="31"/>
        <v/>
      </c>
      <c r="F170" s="7"/>
      <c r="G170" s="20"/>
      <c r="H170" s="21"/>
      <c r="I170" s="21"/>
      <c r="J170" s="23" t="str">
        <f t="shared" si="32"/>
        <v/>
      </c>
      <c r="K170" s="24"/>
      <c r="L170" s="4"/>
      <c r="M170" s="5"/>
      <c r="N170" s="2" t="str">
        <f t="shared" ca="1" si="33"/>
        <v/>
      </c>
      <c r="O170" s="6" t="str">
        <f t="shared" si="34"/>
        <v/>
      </c>
      <c r="P170" s="6" t="str">
        <f t="shared" si="35"/>
        <v/>
      </c>
      <c r="Q170" s="3"/>
    </row>
    <row r="171" spans="1:17" x14ac:dyDescent="0.2">
      <c r="A171" s="2" t="str">
        <f t="shared" si="30"/>
        <v/>
      </c>
      <c r="B171" s="3"/>
      <c r="C171" s="4"/>
      <c r="D171" s="5"/>
      <c r="E171" s="6" t="str">
        <f t="shared" si="31"/>
        <v/>
      </c>
      <c r="F171" s="7"/>
      <c r="G171" s="20"/>
      <c r="H171" s="21"/>
      <c r="I171" s="21"/>
      <c r="J171" s="23" t="str">
        <f t="shared" si="32"/>
        <v/>
      </c>
      <c r="K171" s="24"/>
      <c r="L171" s="4"/>
      <c r="M171" s="5"/>
      <c r="N171" s="2" t="str">
        <f t="shared" ca="1" si="33"/>
        <v/>
      </c>
      <c r="O171" s="6" t="str">
        <f t="shared" si="34"/>
        <v/>
      </c>
      <c r="P171" s="6" t="str">
        <f t="shared" si="35"/>
        <v/>
      </c>
      <c r="Q171" s="3"/>
    </row>
    <row r="172" spans="1:17" x14ac:dyDescent="0.2">
      <c r="A172" s="2" t="str">
        <f t="shared" si="30"/>
        <v/>
      </c>
      <c r="B172" s="3"/>
      <c r="C172" s="4"/>
      <c r="D172" s="5"/>
      <c r="E172" s="6" t="str">
        <f t="shared" si="31"/>
        <v/>
      </c>
      <c r="F172" s="7"/>
      <c r="G172" s="20"/>
      <c r="H172" s="21"/>
      <c r="I172" s="21"/>
      <c r="J172" s="23" t="str">
        <f t="shared" si="32"/>
        <v/>
      </c>
      <c r="K172" s="24"/>
      <c r="L172" s="4"/>
      <c r="M172" s="5"/>
      <c r="N172" s="2" t="str">
        <f t="shared" ca="1" si="33"/>
        <v/>
      </c>
      <c r="O172" s="6" t="str">
        <f t="shared" si="34"/>
        <v/>
      </c>
      <c r="P172" s="6" t="str">
        <f t="shared" si="35"/>
        <v/>
      </c>
      <c r="Q172" s="3"/>
    </row>
    <row r="173" spans="1:17" x14ac:dyDescent="0.2">
      <c r="A173" s="2" t="str">
        <f t="shared" si="30"/>
        <v/>
      </c>
      <c r="B173" s="3"/>
      <c r="C173" s="4"/>
      <c r="D173" s="5"/>
      <c r="E173" s="6" t="str">
        <f t="shared" si="31"/>
        <v/>
      </c>
      <c r="F173" s="7"/>
      <c r="G173" s="20"/>
      <c r="H173" s="21"/>
      <c r="I173" s="21"/>
      <c r="J173" s="23" t="str">
        <f t="shared" si="32"/>
        <v/>
      </c>
      <c r="K173" s="24"/>
      <c r="L173" s="4"/>
      <c r="M173" s="5"/>
      <c r="N173" s="2" t="str">
        <f t="shared" ca="1" si="33"/>
        <v/>
      </c>
      <c r="O173" s="6" t="str">
        <f t="shared" si="34"/>
        <v/>
      </c>
      <c r="P173" s="6" t="str">
        <f t="shared" si="35"/>
        <v/>
      </c>
      <c r="Q173" s="3"/>
    </row>
    <row r="174" spans="1:17" x14ac:dyDescent="0.2">
      <c r="A174" s="2" t="str">
        <f t="shared" si="30"/>
        <v/>
      </c>
      <c r="B174" s="3"/>
      <c r="C174" s="4"/>
      <c r="D174" s="5"/>
      <c r="E174" s="6" t="str">
        <f t="shared" si="31"/>
        <v/>
      </c>
      <c r="F174" s="7"/>
      <c r="G174" s="20"/>
      <c r="H174" s="21"/>
      <c r="I174" s="21"/>
      <c r="J174" s="23" t="str">
        <f t="shared" si="32"/>
        <v/>
      </c>
      <c r="K174" s="24"/>
      <c r="L174" s="4"/>
      <c r="M174" s="5"/>
      <c r="N174" s="2" t="str">
        <f t="shared" ca="1" si="33"/>
        <v/>
      </c>
      <c r="O174" s="6" t="str">
        <f t="shared" si="34"/>
        <v/>
      </c>
      <c r="P174" s="6" t="str">
        <f t="shared" si="35"/>
        <v/>
      </c>
      <c r="Q174" s="3"/>
    </row>
    <row r="175" spans="1:17" x14ac:dyDescent="0.2">
      <c r="A175" s="2" t="str">
        <f t="shared" si="30"/>
        <v/>
      </c>
      <c r="B175" s="3"/>
      <c r="C175" s="4"/>
      <c r="D175" s="5"/>
      <c r="E175" s="6" t="str">
        <f t="shared" si="31"/>
        <v/>
      </c>
      <c r="F175" s="7"/>
      <c r="G175" s="20"/>
      <c r="H175" s="21"/>
      <c r="I175" s="21"/>
      <c r="J175" s="23" t="str">
        <f t="shared" si="32"/>
        <v/>
      </c>
      <c r="K175" s="24"/>
      <c r="L175" s="4"/>
      <c r="M175" s="5"/>
      <c r="N175" s="2" t="str">
        <f t="shared" ca="1" si="33"/>
        <v/>
      </c>
      <c r="O175" s="6" t="str">
        <f t="shared" si="34"/>
        <v/>
      </c>
      <c r="P175" s="6" t="str">
        <f t="shared" si="35"/>
        <v/>
      </c>
      <c r="Q175" s="3"/>
    </row>
    <row r="176" spans="1:17" x14ac:dyDescent="0.2">
      <c r="A176" s="2" t="str">
        <f t="shared" si="30"/>
        <v/>
      </c>
      <c r="B176" s="3"/>
      <c r="C176" s="4"/>
      <c r="D176" s="5"/>
      <c r="E176" s="6" t="str">
        <f t="shared" si="31"/>
        <v/>
      </c>
      <c r="F176" s="7"/>
      <c r="G176" s="20"/>
      <c r="H176" s="21"/>
      <c r="I176" s="21"/>
      <c r="J176" s="23" t="str">
        <f t="shared" si="32"/>
        <v/>
      </c>
      <c r="K176" s="24"/>
      <c r="L176" s="4"/>
      <c r="M176" s="5"/>
      <c r="N176" s="2" t="str">
        <f t="shared" ca="1" si="33"/>
        <v/>
      </c>
      <c r="O176" s="6" t="str">
        <f t="shared" si="34"/>
        <v/>
      </c>
      <c r="P176" s="6" t="str">
        <f t="shared" si="35"/>
        <v/>
      </c>
      <c r="Q176" s="3"/>
    </row>
    <row r="177" spans="1:17" x14ac:dyDescent="0.2">
      <c r="A177" s="2" t="str">
        <f t="shared" si="30"/>
        <v/>
      </c>
      <c r="B177" s="3"/>
      <c r="C177" s="4"/>
      <c r="D177" s="5"/>
      <c r="E177" s="6" t="str">
        <f t="shared" si="31"/>
        <v/>
      </c>
      <c r="F177" s="7"/>
      <c r="G177" s="20"/>
      <c r="H177" s="21"/>
      <c r="I177" s="21"/>
      <c r="J177" s="23" t="str">
        <f t="shared" si="32"/>
        <v/>
      </c>
      <c r="K177" s="24"/>
      <c r="L177" s="4"/>
      <c r="M177" s="5"/>
      <c r="N177" s="2" t="str">
        <f t="shared" ca="1" si="33"/>
        <v/>
      </c>
      <c r="O177" s="6" t="str">
        <f t="shared" si="34"/>
        <v/>
      </c>
      <c r="P177" s="6" t="str">
        <f t="shared" si="35"/>
        <v/>
      </c>
      <c r="Q177" s="3"/>
    </row>
    <row r="178" spans="1:17" x14ac:dyDescent="0.2">
      <c r="A178" s="2" t="str">
        <f t="shared" si="30"/>
        <v/>
      </c>
      <c r="B178" s="3"/>
      <c r="C178" s="4"/>
      <c r="D178" s="5"/>
      <c r="E178" s="6" t="str">
        <f t="shared" si="31"/>
        <v/>
      </c>
      <c r="F178" s="7"/>
      <c r="G178" s="20"/>
      <c r="H178" s="21"/>
      <c r="I178" s="21"/>
      <c r="J178" s="23" t="str">
        <f t="shared" si="32"/>
        <v/>
      </c>
      <c r="K178" s="24"/>
      <c r="L178" s="4"/>
      <c r="M178" s="5"/>
      <c r="N178" s="2" t="str">
        <f t="shared" ca="1" si="33"/>
        <v/>
      </c>
      <c r="O178" s="6" t="str">
        <f t="shared" si="34"/>
        <v/>
      </c>
      <c r="P178" s="6" t="str">
        <f t="shared" si="35"/>
        <v/>
      </c>
      <c r="Q178" s="3"/>
    </row>
    <row r="179" spans="1:17" x14ac:dyDescent="0.2">
      <c r="A179" s="2" t="str">
        <f t="shared" si="30"/>
        <v/>
      </c>
      <c r="B179" s="3"/>
      <c r="C179" s="4"/>
      <c r="D179" s="5"/>
      <c r="E179" s="6" t="str">
        <f t="shared" si="31"/>
        <v/>
      </c>
      <c r="F179" s="7"/>
      <c r="G179" s="20"/>
      <c r="H179" s="21"/>
      <c r="I179" s="21"/>
      <c r="J179" s="23" t="str">
        <f t="shared" si="32"/>
        <v/>
      </c>
      <c r="K179" s="24"/>
      <c r="L179" s="4"/>
      <c r="M179" s="5"/>
      <c r="N179" s="2" t="str">
        <f t="shared" ca="1" si="33"/>
        <v/>
      </c>
      <c r="O179" s="6" t="str">
        <f t="shared" si="34"/>
        <v/>
      </c>
      <c r="P179" s="6" t="str">
        <f t="shared" si="35"/>
        <v/>
      </c>
      <c r="Q179" s="3"/>
    </row>
    <row r="180" spans="1:17" x14ac:dyDescent="0.2">
      <c r="A180" s="2" t="str">
        <f t="shared" si="30"/>
        <v/>
      </c>
      <c r="B180" s="3"/>
      <c r="C180" s="4"/>
      <c r="D180" s="5"/>
      <c r="E180" s="6" t="str">
        <f t="shared" si="31"/>
        <v/>
      </c>
      <c r="F180" s="7"/>
      <c r="G180" s="20"/>
      <c r="H180" s="21"/>
      <c r="I180" s="21"/>
      <c r="J180" s="23" t="str">
        <f t="shared" si="32"/>
        <v/>
      </c>
      <c r="K180" s="24"/>
      <c r="L180" s="4"/>
      <c r="M180" s="5"/>
      <c r="N180" s="2" t="str">
        <f t="shared" ca="1" si="33"/>
        <v/>
      </c>
      <c r="O180" s="6" t="str">
        <f t="shared" si="34"/>
        <v/>
      </c>
      <c r="P180" s="6" t="str">
        <f t="shared" si="35"/>
        <v/>
      </c>
      <c r="Q180" s="3"/>
    </row>
    <row r="181" spans="1:17" x14ac:dyDescent="0.2">
      <c r="A181" s="2" t="str">
        <f t="shared" si="30"/>
        <v/>
      </c>
      <c r="B181" s="3"/>
      <c r="C181" s="4"/>
      <c r="D181" s="5"/>
      <c r="E181" s="6" t="str">
        <f t="shared" si="31"/>
        <v/>
      </c>
      <c r="F181" s="7"/>
      <c r="G181" s="20"/>
      <c r="H181" s="21"/>
      <c r="I181" s="21"/>
      <c r="J181" s="23" t="str">
        <f t="shared" si="32"/>
        <v/>
      </c>
      <c r="K181" s="24"/>
      <c r="L181" s="4"/>
      <c r="M181" s="5"/>
      <c r="N181" s="2" t="str">
        <f t="shared" ca="1" si="33"/>
        <v/>
      </c>
      <c r="O181" s="6" t="str">
        <f t="shared" si="34"/>
        <v/>
      </c>
      <c r="P181" s="6" t="str">
        <f t="shared" si="35"/>
        <v/>
      </c>
      <c r="Q181" s="3"/>
    </row>
    <row r="182" spans="1:17" x14ac:dyDescent="0.2">
      <c r="A182" s="2" t="str">
        <f t="shared" si="30"/>
        <v/>
      </c>
      <c r="B182" s="3"/>
      <c r="C182" s="4"/>
      <c r="D182" s="5"/>
      <c r="E182" s="6" t="str">
        <f t="shared" si="31"/>
        <v/>
      </c>
      <c r="F182" s="7"/>
      <c r="G182" s="20"/>
      <c r="H182" s="21"/>
      <c r="I182" s="21"/>
      <c r="J182" s="23" t="str">
        <f t="shared" si="32"/>
        <v/>
      </c>
      <c r="K182" s="24"/>
      <c r="L182" s="4"/>
      <c r="M182" s="5"/>
      <c r="N182" s="2" t="str">
        <f t="shared" ca="1" si="33"/>
        <v/>
      </c>
      <c r="O182" s="6" t="str">
        <f t="shared" si="34"/>
        <v/>
      </c>
      <c r="P182" s="6" t="str">
        <f t="shared" si="35"/>
        <v/>
      </c>
      <c r="Q182" s="3"/>
    </row>
    <row r="183" spans="1:17" x14ac:dyDescent="0.2">
      <c r="A183" s="2" t="str">
        <f t="shared" si="30"/>
        <v/>
      </c>
      <c r="B183" s="3"/>
      <c r="C183" s="4"/>
      <c r="D183" s="5"/>
      <c r="E183" s="6" t="str">
        <f t="shared" si="31"/>
        <v/>
      </c>
      <c r="F183" s="7"/>
      <c r="G183" s="20"/>
      <c r="H183" s="21"/>
      <c r="I183" s="21"/>
      <c r="J183" s="23" t="str">
        <f t="shared" si="32"/>
        <v/>
      </c>
      <c r="K183" s="24"/>
      <c r="L183" s="4"/>
      <c r="M183" s="5"/>
      <c r="N183" s="2" t="str">
        <f t="shared" ca="1" si="33"/>
        <v/>
      </c>
      <c r="O183" s="6" t="str">
        <f t="shared" si="34"/>
        <v/>
      </c>
      <c r="P183" s="6" t="str">
        <f t="shared" si="35"/>
        <v/>
      </c>
      <c r="Q183" s="3"/>
    </row>
    <row r="184" spans="1:17" x14ac:dyDescent="0.2">
      <c r="A184" s="2" t="str">
        <f t="shared" si="30"/>
        <v/>
      </c>
      <c r="B184" s="3"/>
      <c r="C184" s="4"/>
      <c r="D184" s="5"/>
      <c r="E184" s="6" t="str">
        <f t="shared" si="31"/>
        <v/>
      </c>
      <c r="F184" s="7"/>
      <c r="G184" s="20"/>
      <c r="H184" s="21"/>
      <c r="I184" s="21"/>
      <c r="J184" s="23" t="str">
        <f t="shared" si="32"/>
        <v/>
      </c>
      <c r="K184" s="24"/>
      <c r="L184" s="4"/>
      <c r="M184" s="5"/>
      <c r="N184" s="2" t="str">
        <f t="shared" ca="1" si="33"/>
        <v/>
      </c>
      <c r="O184" s="6" t="str">
        <f t="shared" si="34"/>
        <v/>
      </c>
      <c r="P184" s="6" t="str">
        <f t="shared" si="35"/>
        <v/>
      </c>
      <c r="Q184" s="3"/>
    </row>
    <row r="185" spans="1:17" x14ac:dyDescent="0.2">
      <c r="A185" s="2" t="str">
        <f t="shared" si="30"/>
        <v/>
      </c>
      <c r="B185" s="3"/>
      <c r="C185" s="4"/>
      <c r="D185" s="5"/>
      <c r="E185" s="6" t="str">
        <f t="shared" si="31"/>
        <v/>
      </c>
      <c r="F185" s="7"/>
      <c r="G185" s="20"/>
      <c r="H185" s="21"/>
      <c r="I185" s="21"/>
      <c r="J185" s="23" t="str">
        <f t="shared" si="32"/>
        <v/>
      </c>
      <c r="K185" s="24"/>
      <c r="L185" s="4"/>
      <c r="M185" s="5"/>
      <c r="N185" s="2" t="str">
        <f t="shared" ca="1" si="33"/>
        <v/>
      </c>
      <c r="O185" s="6" t="str">
        <f t="shared" si="34"/>
        <v/>
      </c>
      <c r="P185" s="6" t="str">
        <f t="shared" si="35"/>
        <v/>
      </c>
      <c r="Q185" s="3"/>
    </row>
    <row r="186" spans="1:17" x14ac:dyDescent="0.2">
      <c r="A186" s="2" t="str">
        <f t="shared" si="30"/>
        <v/>
      </c>
      <c r="B186" s="3"/>
      <c r="C186" s="4"/>
      <c r="D186" s="5"/>
      <c r="E186" s="6" t="str">
        <f t="shared" si="31"/>
        <v/>
      </c>
      <c r="F186" s="7"/>
      <c r="G186" s="20"/>
      <c r="H186" s="21"/>
      <c r="I186" s="21"/>
      <c r="J186" s="23" t="str">
        <f t="shared" si="32"/>
        <v/>
      </c>
      <c r="K186" s="24"/>
      <c r="L186" s="4"/>
      <c r="M186" s="5"/>
      <c r="N186" s="2" t="str">
        <f t="shared" ca="1" si="33"/>
        <v/>
      </c>
      <c r="O186" s="6" t="str">
        <f t="shared" si="34"/>
        <v/>
      </c>
      <c r="P186" s="6" t="str">
        <f t="shared" si="35"/>
        <v/>
      </c>
      <c r="Q186" s="3"/>
    </row>
    <row r="187" spans="1:17" x14ac:dyDescent="0.2">
      <c r="A187" s="2" t="str">
        <f t="shared" si="30"/>
        <v/>
      </c>
      <c r="B187" s="3"/>
      <c r="C187" s="4"/>
      <c r="D187" s="5"/>
      <c r="E187" s="6" t="str">
        <f t="shared" si="31"/>
        <v/>
      </c>
      <c r="F187" s="7"/>
      <c r="G187" s="20"/>
      <c r="H187" s="21"/>
      <c r="I187" s="21"/>
      <c r="J187" s="23" t="str">
        <f t="shared" si="32"/>
        <v/>
      </c>
      <c r="K187" s="24"/>
      <c r="L187" s="4"/>
      <c r="M187" s="5"/>
      <c r="N187" s="2" t="str">
        <f t="shared" ca="1" si="33"/>
        <v/>
      </c>
      <c r="O187" s="6" t="str">
        <f t="shared" si="34"/>
        <v/>
      </c>
      <c r="P187" s="6" t="str">
        <f t="shared" si="35"/>
        <v/>
      </c>
      <c r="Q187" s="3"/>
    </row>
    <row r="188" spans="1:17" x14ac:dyDescent="0.2">
      <c r="A188" s="2" t="str">
        <f t="shared" si="30"/>
        <v/>
      </c>
      <c r="B188" s="3"/>
      <c r="C188" s="4"/>
      <c r="D188" s="5"/>
      <c r="E188" s="6" t="str">
        <f t="shared" si="31"/>
        <v/>
      </c>
      <c r="F188" s="7"/>
      <c r="G188" s="20"/>
      <c r="H188" s="21"/>
      <c r="I188" s="21"/>
      <c r="J188" s="23" t="str">
        <f t="shared" si="32"/>
        <v/>
      </c>
      <c r="K188" s="24"/>
      <c r="L188" s="4"/>
      <c r="M188" s="5"/>
      <c r="N188" s="2" t="str">
        <f t="shared" ca="1" si="33"/>
        <v/>
      </c>
      <c r="O188" s="6" t="str">
        <f t="shared" si="34"/>
        <v/>
      </c>
      <c r="P188" s="6" t="str">
        <f t="shared" si="35"/>
        <v/>
      </c>
      <c r="Q188" s="3"/>
    </row>
    <row r="189" spans="1:17" x14ac:dyDescent="0.2">
      <c r="A189" s="2" t="str">
        <f t="shared" si="30"/>
        <v/>
      </c>
      <c r="B189" s="3"/>
      <c r="C189" s="4"/>
      <c r="D189" s="5"/>
      <c r="E189" s="6" t="str">
        <f t="shared" si="31"/>
        <v/>
      </c>
      <c r="F189" s="7"/>
      <c r="G189" s="20"/>
      <c r="H189" s="21"/>
      <c r="I189" s="21"/>
      <c r="J189" s="23" t="str">
        <f t="shared" si="32"/>
        <v/>
      </c>
      <c r="K189" s="24"/>
      <c r="L189" s="4"/>
      <c r="M189" s="5"/>
      <c r="N189" s="2" t="str">
        <f t="shared" ca="1" si="33"/>
        <v/>
      </c>
      <c r="O189" s="6" t="str">
        <f t="shared" si="34"/>
        <v/>
      </c>
      <c r="P189" s="6" t="str">
        <f t="shared" si="35"/>
        <v/>
      </c>
      <c r="Q189" s="3"/>
    </row>
    <row r="190" spans="1:17" x14ac:dyDescent="0.2">
      <c r="A190" s="2" t="str">
        <f t="shared" si="30"/>
        <v/>
      </c>
      <c r="B190" s="3"/>
      <c r="C190" s="4"/>
      <c r="D190" s="5"/>
      <c r="E190" s="6" t="str">
        <f t="shared" si="31"/>
        <v/>
      </c>
      <c r="F190" s="7"/>
      <c r="G190" s="20"/>
      <c r="H190" s="21"/>
      <c r="I190" s="21"/>
      <c r="J190" s="23" t="str">
        <f t="shared" si="32"/>
        <v/>
      </c>
      <c r="K190" s="24"/>
      <c r="L190" s="4"/>
      <c r="M190" s="5"/>
      <c r="N190" s="2" t="str">
        <f t="shared" ca="1" si="33"/>
        <v/>
      </c>
      <c r="O190" s="6" t="str">
        <f t="shared" si="34"/>
        <v/>
      </c>
      <c r="P190" s="6" t="str">
        <f t="shared" si="35"/>
        <v/>
      </c>
      <c r="Q190" s="3"/>
    </row>
    <row r="191" spans="1:17" x14ac:dyDescent="0.2">
      <c r="A191" s="2" t="str">
        <f t="shared" si="30"/>
        <v/>
      </c>
      <c r="B191" s="3"/>
      <c r="C191" s="4"/>
      <c r="D191" s="5"/>
      <c r="E191" s="6" t="str">
        <f t="shared" si="31"/>
        <v/>
      </c>
      <c r="F191" s="7"/>
      <c r="G191" s="20"/>
      <c r="H191" s="21"/>
      <c r="I191" s="21"/>
      <c r="J191" s="23" t="str">
        <f t="shared" si="32"/>
        <v/>
      </c>
      <c r="K191" s="24"/>
      <c r="L191" s="4"/>
      <c r="M191" s="5"/>
      <c r="N191" s="2" t="str">
        <f t="shared" ca="1" si="33"/>
        <v/>
      </c>
      <c r="O191" s="6" t="str">
        <f t="shared" si="34"/>
        <v/>
      </c>
      <c r="P191" s="6" t="str">
        <f t="shared" si="35"/>
        <v/>
      </c>
      <c r="Q191" s="3"/>
    </row>
    <row r="192" spans="1:17" x14ac:dyDescent="0.2">
      <c r="A192" s="2" t="str">
        <f t="shared" si="30"/>
        <v/>
      </c>
      <c r="B192" s="3"/>
      <c r="C192" s="4"/>
      <c r="D192" s="5"/>
      <c r="E192" s="6" t="str">
        <f t="shared" si="31"/>
        <v/>
      </c>
      <c r="F192" s="7"/>
      <c r="G192" s="20"/>
      <c r="H192" s="21"/>
      <c r="I192" s="21"/>
      <c r="J192" s="23" t="str">
        <f t="shared" si="32"/>
        <v/>
      </c>
      <c r="K192" s="24"/>
      <c r="L192" s="4"/>
      <c r="M192" s="5"/>
      <c r="N192" s="2" t="str">
        <f t="shared" ca="1" si="33"/>
        <v/>
      </c>
      <c r="O192" s="6" t="str">
        <f t="shared" si="34"/>
        <v/>
      </c>
      <c r="P192" s="6" t="str">
        <f t="shared" si="35"/>
        <v/>
      </c>
      <c r="Q192" s="3"/>
    </row>
    <row r="193" spans="1:17" x14ac:dyDescent="0.2">
      <c r="A193" s="2" t="str">
        <f t="shared" si="30"/>
        <v/>
      </c>
      <c r="B193" s="3"/>
      <c r="C193" s="4"/>
      <c r="D193" s="5"/>
      <c r="E193" s="6" t="str">
        <f t="shared" si="31"/>
        <v/>
      </c>
      <c r="F193" s="7"/>
      <c r="G193" s="20"/>
      <c r="H193" s="21"/>
      <c r="I193" s="21"/>
      <c r="J193" s="23" t="str">
        <f t="shared" si="32"/>
        <v/>
      </c>
      <c r="K193" s="24"/>
      <c r="L193" s="4"/>
      <c r="M193" s="5"/>
      <c r="N193" s="2" t="str">
        <f t="shared" ca="1" si="33"/>
        <v/>
      </c>
      <c r="O193" s="6" t="str">
        <f t="shared" si="34"/>
        <v/>
      </c>
      <c r="P193" s="6" t="str">
        <f t="shared" si="35"/>
        <v/>
      </c>
      <c r="Q193" s="3"/>
    </row>
    <row r="194" spans="1:17" x14ac:dyDescent="0.2">
      <c r="A194" s="2" t="str">
        <f t="shared" si="30"/>
        <v/>
      </c>
      <c r="B194" s="3"/>
      <c r="C194" s="4"/>
      <c r="D194" s="5"/>
      <c r="E194" s="6" t="str">
        <f t="shared" si="31"/>
        <v/>
      </c>
      <c r="F194" s="7"/>
      <c r="G194" s="20"/>
      <c r="H194" s="21"/>
      <c r="I194" s="21"/>
      <c r="J194" s="23" t="str">
        <f t="shared" si="32"/>
        <v/>
      </c>
      <c r="K194" s="24"/>
      <c r="L194" s="4"/>
      <c r="M194" s="5"/>
      <c r="N194" s="2" t="str">
        <f t="shared" ca="1" si="33"/>
        <v/>
      </c>
      <c r="O194" s="6" t="str">
        <f t="shared" si="34"/>
        <v/>
      </c>
      <c r="P194" s="6" t="str">
        <f t="shared" si="35"/>
        <v/>
      </c>
      <c r="Q194" s="3"/>
    </row>
    <row r="195" spans="1:17" x14ac:dyDescent="0.2">
      <c r="A195" s="2" t="str">
        <f t="shared" si="30"/>
        <v/>
      </c>
      <c r="B195" s="3"/>
      <c r="C195" s="4"/>
      <c r="D195" s="5"/>
      <c r="E195" s="6" t="str">
        <f t="shared" si="31"/>
        <v/>
      </c>
      <c r="F195" s="7"/>
      <c r="G195" s="20"/>
      <c r="H195" s="21"/>
      <c r="I195" s="21"/>
      <c r="J195" s="23" t="str">
        <f t="shared" si="32"/>
        <v/>
      </c>
      <c r="K195" s="24"/>
      <c r="L195" s="4"/>
      <c r="M195" s="5"/>
      <c r="N195" s="2" t="str">
        <f t="shared" ca="1" si="33"/>
        <v/>
      </c>
      <c r="O195" s="6" t="str">
        <f t="shared" si="34"/>
        <v/>
      </c>
      <c r="P195" s="6" t="str">
        <f t="shared" si="35"/>
        <v/>
      </c>
      <c r="Q195" s="3"/>
    </row>
    <row r="196" spans="1:17" x14ac:dyDescent="0.2">
      <c r="A196" s="2" t="str">
        <f t="shared" ref="A196:A227" si="36">IF(B196="","",ROW()-3)</f>
        <v/>
      </c>
      <c r="B196" s="3"/>
      <c r="C196" s="4"/>
      <c r="D196" s="5"/>
      <c r="E196" s="6" t="str">
        <f t="shared" ref="E196:E203" si="37">IF(C196="","",C196*1.35)</f>
        <v/>
      </c>
      <c r="F196" s="7"/>
      <c r="G196" s="20"/>
      <c r="H196" s="21"/>
      <c r="I196" s="21"/>
      <c r="J196" s="23" t="str">
        <f t="shared" ref="J196:J227" si="38">IF(OR(I196="",H196=""),"",MAX(0,I196-H196))</f>
        <v/>
      </c>
      <c r="K196" s="24"/>
      <c r="L196" s="4"/>
      <c r="M196" s="5"/>
      <c r="N196" s="2" t="str">
        <f t="shared" ref="N196:N227" ca="1" si="39">IF(D196="","",IF(M196&lt;&gt;"",IF(M196-D196&gt;=2,"Đủ","Chưa"),IF(NOW()-D196&gt;=2,"Đủ","Chưa")))</f>
        <v/>
      </c>
      <c r="O196" s="6" t="str">
        <f t="shared" ref="O196:O203" si="40">IF(L196="","",L196*0.06)</f>
        <v/>
      </c>
      <c r="P196" s="6" t="str">
        <f t="shared" ref="P196:P203" si="41">IF(OR(L196="",C196=""),"",L196*0.94-C196)</f>
        <v/>
      </c>
      <c r="Q196" s="3"/>
    </row>
    <row r="197" spans="1:17" x14ac:dyDescent="0.2">
      <c r="A197" s="2" t="str">
        <f t="shared" si="36"/>
        <v/>
      </c>
      <c r="B197" s="3"/>
      <c r="C197" s="4"/>
      <c r="D197" s="5"/>
      <c r="E197" s="6" t="str">
        <f t="shared" si="37"/>
        <v/>
      </c>
      <c r="F197" s="7"/>
      <c r="G197" s="20"/>
      <c r="H197" s="21"/>
      <c r="I197" s="21"/>
      <c r="J197" s="23" t="str">
        <f t="shared" si="38"/>
        <v/>
      </c>
      <c r="K197" s="24"/>
      <c r="L197" s="4"/>
      <c r="M197" s="5"/>
      <c r="N197" s="2" t="str">
        <f t="shared" ca="1" si="39"/>
        <v/>
      </c>
      <c r="O197" s="6" t="str">
        <f t="shared" si="40"/>
        <v/>
      </c>
      <c r="P197" s="6" t="str">
        <f t="shared" si="41"/>
        <v/>
      </c>
      <c r="Q197" s="3"/>
    </row>
    <row r="198" spans="1:17" x14ac:dyDescent="0.2">
      <c r="A198" s="2" t="str">
        <f t="shared" si="36"/>
        <v/>
      </c>
      <c r="B198" s="3"/>
      <c r="C198" s="4"/>
      <c r="D198" s="5"/>
      <c r="E198" s="6" t="str">
        <f t="shared" si="37"/>
        <v/>
      </c>
      <c r="F198" s="7"/>
      <c r="G198" s="20"/>
      <c r="H198" s="21"/>
      <c r="I198" s="21"/>
      <c r="J198" s="23" t="str">
        <f t="shared" si="38"/>
        <v/>
      </c>
      <c r="K198" s="24"/>
      <c r="L198" s="4"/>
      <c r="M198" s="5"/>
      <c r="N198" s="2" t="str">
        <f t="shared" ca="1" si="39"/>
        <v/>
      </c>
      <c r="O198" s="6" t="str">
        <f t="shared" si="40"/>
        <v/>
      </c>
      <c r="P198" s="6" t="str">
        <f t="shared" si="41"/>
        <v/>
      </c>
      <c r="Q198" s="3"/>
    </row>
    <row r="199" spans="1:17" x14ac:dyDescent="0.2">
      <c r="A199" s="2" t="str">
        <f t="shared" si="36"/>
        <v/>
      </c>
      <c r="B199" s="3"/>
      <c r="C199" s="4"/>
      <c r="D199" s="5"/>
      <c r="E199" s="6" t="str">
        <f t="shared" si="37"/>
        <v/>
      </c>
      <c r="F199" s="7"/>
      <c r="G199" s="20"/>
      <c r="H199" s="21"/>
      <c r="I199" s="21"/>
      <c r="J199" s="23" t="str">
        <f t="shared" si="38"/>
        <v/>
      </c>
      <c r="K199" s="24"/>
      <c r="L199" s="4"/>
      <c r="M199" s="5"/>
      <c r="N199" s="2" t="str">
        <f t="shared" ca="1" si="39"/>
        <v/>
      </c>
      <c r="O199" s="6" t="str">
        <f t="shared" si="40"/>
        <v/>
      </c>
      <c r="P199" s="6" t="str">
        <f t="shared" si="41"/>
        <v/>
      </c>
      <c r="Q199" s="3"/>
    </row>
    <row r="200" spans="1:17" x14ac:dyDescent="0.2">
      <c r="A200" s="2" t="str">
        <f t="shared" si="36"/>
        <v/>
      </c>
      <c r="B200" s="3"/>
      <c r="C200" s="4"/>
      <c r="D200" s="5"/>
      <c r="E200" s="6" t="str">
        <f t="shared" si="37"/>
        <v/>
      </c>
      <c r="F200" s="7"/>
      <c r="G200" s="20"/>
      <c r="H200" s="21"/>
      <c r="I200" s="21"/>
      <c r="J200" s="23" t="str">
        <f t="shared" si="38"/>
        <v/>
      </c>
      <c r="K200" s="24"/>
      <c r="L200" s="4"/>
      <c r="M200" s="5"/>
      <c r="N200" s="2" t="str">
        <f t="shared" ca="1" si="39"/>
        <v/>
      </c>
      <c r="O200" s="6" t="str">
        <f t="shared" si="40"/>
        <v/>
      </c>
      <c r="P200" s="6" t="str">
        <f t="shared" si="41"/>
        <v/>
      </c>
      <c r="Q200" s="3"/>
    </row>
    <row r="201" spans="1:17" x14ac:dyDescent="0.2">
      <c r="A201" s="2" t="str">
        <f t="shared" si="36"/>
        <v/>
      </c>
      <c r="B201" s="3"/>
      <c r="C201" s="4"/>
      <c r="D201" s="5"/>
      <c r="E201" s="6" t="str">
        <f t="shared" si="37"/>
        <v/>
      </c>
      <c r="F201" s="7"/>
      <c r="G201" s="20"/>
      <c r="H201" s="21"/>
      <c r="I201" s="21"/>
      <c r="J201" s="23" t="str">
        <f t="shared" si="38"/>
        <v/>
      </c>
      <c r="K201" s="24"/>
      <c r="L201" s="4"/>
      <c r="M201" s="5"/>
      <c r="N201" s="2" t="str">
        <f t="shared" ca="1" si="39"/>
        <v/>
      </c>
      <c r="O201" s="6" t="str">
        <f t="shared" si="40"/>
        <v/>
      </c>
      <c r="P201" s="6" t="str">
        <f t="shared" si="41"/>
        <v/>
      </c>
      <c r="Q201" s="3"/>
    </row>
    <row r="202" spans="1:17" x14ac:dyDescent="0.2">
      <c r="A202" s="2" t="str">
        <f t="shared" si="36"/>
        <v/>
      </c>
      <c r="B202" s="3"/>
      <c r="C202" s="4"/>
      <c r="D202" s="5"/>
      <c r="E202" s="6" t="str">
        <f t="shared" si="37"/>
        <v/>
      </c>
      <c r="F202" s="7"/>
      <c r="G202" s="20"/>
      <c r="H202" s="21"/>
      <c r="I202" s="21"/>
      <c r="J202" s="23" t="str">
        <f t="shared" si="38"/>
        <v/>
      </c>
      <c r="K202" s="24"/>
      <c r="L202" s="4"/>
      <c r="M202" s="5"/>
      <c r="N202" s="2" t="str">
        <f t="shared" ca="1" si="39"/>
        <v/>
      </c>
      <c r="O202" s="6" t="str">
        <f t="shared" si="40"/>
        <v/>
      </c>
      <c r="P202" s="6" t="str">
        <f t="shared" si="41"/>
        <v/>
      </c>
      <c r="Q202" s="3"/>
    </row>
    <row r="203" spans="1:17" x14ac:dyDescent="0.2">
      <c r="A203" s="2" t="str">
        <f t="shared" si="36"/>
        <v/>
      </c>
      <c r="B203" s="3"/>
      <c r="C203" s="4"/>
      <c r="D203" s="5"/>
      <c r="E203" s="6" t="str">
        <f t="shared" si="37"/>
        <v/>
      </c>
      <c r="F203" s="7"/>
      <c r="G203" s="20"/>
      <c r="H203" s="21"/>
      <c r="I203" s="21"/>
      <c r="J203" s="23" t="str">
        <f t="shared" si="38"/>
        <v/>
      </c>
      <c r="K203" s="24"/>
      <c r="L203" s="4"/>
      <c r="M203" s="5"/>
      <c r="N203" s="2" t="str">
        <f t="shared" ca="1" si="39"/>
        <v/>
      </c>
      <c r="O203" s="6" t="str">
        <f t="shared" si="40"/>
        <v/>
      </c>
      <c r="P203" s="6" t="str">
        <f t="shared" si="41"/>
        <v/>
      </c>
      <c r="Q203" s="3"/>
    </row>
  </sheetData>
  <autoFilter ref="A3:Q203" xr:uid="{00000000-0009-0000-0000-000000000000}"/>
  <mergeCells count="2">
    <mergeCell ref="A2:Q2"/>
    <mergeCell ref="A1:Q1"/>
  </mergeCells>
  <conditionalFormatting sqref="A4:Q203">
    <cfRule type="expression" dxfId="1" priority="1">
      <formula>$F4="Đã bán"</formula>
    </cfRule>
    <cfRule type="expression" dxfId="0" priority="2">
      <formula>$F4="Đã đặt cọc"</formula>
    </cfRule>
  </conditionalFormatting>
  <dataValidations count="1">
    <dataValidation type="list" allowBlank="1" showErrorMessage="1" errorTitle="Trạng thái không hợp lệ" error="Chọn: Còn hàng / Đã đặt cọc / Đã bán" sqref="F4:F203" xr:uid="{00000000-0002-0000-0000-000000000000}">
      <formula1>"Còn hàng,Đã đặt cọc,Đã bán"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topLeftCell="A4" workbookViewId="0">
      <selection activeCell="J27" sqref="J27"/>
    </sheetView>
  </sheetViews>
  <sheetFormatPr defaultRowHeight="14.25" x14ac:dyDescent="0.2"/>
  <cols>
    <col min="1" max="1" width="26" style="18" customWidth="1"/>
    <col min="2" max="5" width="18" style="18" customWidth="1"/>
  </cols>
  <sheetData>
    <row r="1" spans="1:5" ht="26.1" customHeight="1" x14ac:dyDescent="0.2">
      <c r="A1" s="28" t="s">
        <v>24</v>
      </c>
      <c r="B1" s="26"/>
      <c r="C1" s="26"/>
      <c r="D1" s="26"/>
      <c r="E1" s="26"/>
    </row>
    <row r="3" spans="1:5" x14ac:dyDescent="0.2">
      <c r="A3" s="8" t="s">
        <v>25</v>
      </c>
      <c r="B3" s="9">
        <f>COUNTA('Kho Xe'!B4:B203)</f>
        <v>2</v>
      </c>
    </row>
    <row r="4" spans="1:5" x14ac:dyDescent="0.2">
      <c r="A4" s="8" t="s">
        <v>26</v>
      </c>
      <c r="B4" s="9">
        <f>COUNTIF('Kho Xe'!F4:F203,"Còn hàng")</f>
        <v>0</v>
      </c>
    </row>
    <row r="5" spans="1:5" x14ac:dyDescent="0.2">
      <c r="A5" s="8" t="s">
        <v>27</v>
      </c>
      <c r="B5" s="9">
        <f>COUNTIF('Kho Xe'!F4:F203,"Đã đặt cọc")</f>
        <v>0</v>
      </c>
    </row>
    <row r="6" spans="1:5" x14ac:dyDescent="0.2">
      <c r="A6" s="8" t="s">
        <v>28</v>
      </c>
      <c r="B6" s="9">
        <f>COUNTIF('Kho Xe'!F4:F203,"Đã bán")</f>
        <v>2</v>
      </c>
    </row>
    <row r="8" spans="1:5" x14ac:dyDescent="0.2">
      <c r="A8" s="8" t="s">
        <v>29</v>
      </c>
      <c r="B8" s="6">
        <f>SUM('Kho Xe'!C4:C203)</f>
        <v>0</v>
      </c>
    </row>
    <row r="9" spans="1:5" x14ac:dyDescent="0.2">
      <c r="A9" s="8" t="s">
        <v>30</v>
      </c>
      <c r="B9" s="6">
        <f>SUMIF('Kho Xe'!F4:F203,"&lt;&gt;Đã bán",'Kho Xe'!C4:C203)</f>
        <v>0</v>
      </c>
    </row>
    <row r="10" spans="1:5" x14ac:dyDescent="0.2">
      <c r="A10" s="8" t="s">
        <v>31</v>
      </c>
      <c r="B10" s="6">
        <f>SUMIF('Kho Xe'!F4:F203,"Đã đặt cọc",'Kho Xe'!H4:H203)</f>
        <v>0</v>
      </c>
    </row>
    <row r="11" spans="1:5" x14ac:dyDescent="0.2">
      <c r="A11" s="8" t="s">
        <v>32</v>
      </c>
      <c r="B11" s="6">
        <f>SUMIF('Kho Xe'!F4:F203,"Đã đặt cọc",'Kho Xe'!J4:J203)</f>
        <v>0</v>
      </c>
    </row>
    <row r="13" spans="1:5" x14ac:dyDescent="0.2">
      <c r="A13" s="8" t="s">
        <v>33</v>
      </c>
      <c r="B13" s="6">
        <f>SUM('Kho Xe'!L4:L203)</f>
        <v>0</v>
      </c>
    </row>
    <row r="14" spans="1:5" x14ac:dyDescent="0.2">
      <c r="A14" s="8" t="s">
        <v>34</v>
      </c>
      <c r="B14" s="6">
        <f>SUM('Kho Xe'!O4:O203)</f>
        <v>0</v>
      </c>
    </row>
    <row r="15" spans="1:5" x14ac:dyDescent="0.2">
      <c r="A15" s="10" t="s">
        <v>35</v>
      </c>
      <c r="B15" s="11">
        <f>SUM('Kho Xe'!P4:P203)</f>
        <v>0</v>
      </c>
    </row>
    <row r="18" spans="1:5" ht="15.75" customHeight="1" x14ac:dyDescent="0.25">
      <c r="A18" s="12" t="s">
        <v>36</v>
      </c>
    </row>
    <row r="19" spans="1:5" x14ac:dyDescent="0.2">
      <c r="A19" s="13" t="s">
        <v>37</v>
      </c>
      <c r="B19" s="13" t="s">
        <v>38</v>
      </c>
      <c r="C19" s="13" t="s">
        <v>39</v>
      </c>
      <c r="D19" s="13" t="s">
        <v>40</v>
      </c>
      <c r="E19" s="13" t="s">
        <v>17</v>
      </c>
    </row>
    <row r="20" spans="1:5" x14ac:dyDescent="0.2">
      <c r="A20" s="14">
        <f>DATE(2026,1,1)</f>
        <v>46023</v>
      </c>
      <c r="B20" s="2">
        <f>COUNTIFS('Kho Xe'!D4:D203,"&gt;="&amp;$A20,'Kho Xe'!D4:D203,"&lt;="&amp;EOMONTH($A20,0))</f>
        <v>0</v>
      </c>
      <c r="C20" s="6">
        <f>SUMIFS('Kho Xe'!C4:C203,'Kho Xe'!D4:D203,"&gt;="&amp;$A20,'Kho Xe'!D4:D203,"&lt;="&amp;EOMONTH($A20,0))</f>
        <v>0</v>
      </c>
      <c r="D20" s="2">
        <f>COUNTIFS('Kho Xe'!M4:M203,"&gt;="&amp;$A20,'Kho Xe'!M4:M203,"&lt;="&amp;EOMONTH($A20,0))</f>
        <v>0</v>
      </c>
      <c r="E20" s="6">
        <f>SUMIFS('Kho Xe'!P4:P203,'Kho Xe'!M4:M203,"&gt;="&amp;$A20,'Kho Xe'!M4:M203,"&lt;="&amp;EOMONTH($A20,0))</f>
        <v>0</v>
      </c>
    </row>
    <row r="21" spans="1:5" x14ac:dyDescent="0.2">
      <c r="A21" s="14">
        <f>DATE(2026,2,1)</f>
        <v>46054</v>
      </c>
      <c r="B21" s="2">
        <f>COUNTIFS('Kho Xe'!D4:D203,"&gt;="&amp;$A21,'Kho Xe'!D4:D203,"&lt;="&amp;EOMONTH($A21,0))</f>
        <v>0</v>
      </c>
      <c r="C21" s="6">
        <f>SUMIFS('Kho Xe'!C4:C203,'Kho Xe'!D4:D203,"&gt;="&amp;$A21,'Kho Xe'!D4:D203,"&lt;="&amp;EOMONTH($A21,0))</f>
        <v>0</v>
      </c>
      <c r="D21" s="2">
        <f>COUNTIFS('Kho Xe'!M4:M203,"&gt;="&amp;$A21,'Kho Xe'!M4:M203,"&lt;="&amp;EOMONTH($A21,0))</f>
        <v>0</v>
      </c>
      <c r="E21" s="6">
        <f>SUMIFS('Kho Xe'!P4:P203,'Kho Xe'!M4:M203,"&gt;="&amp;$A21,'Kho Xe'!M4:M203,"&lt;="&amp;EOMONTH($A21,0))</f>
        <v>0</v>
      </c>
    </row>
    <row r="22" spans="1:5" x14ac:dyDescent="0.2">
      <c r="A22" s="14">
        <f>DATE(2026,3,1)</f>
        <v>46082</v>
      </c>
      <c r="B22" s="2">
        <f>COUNTIFS('Kho Xe'!D4:D203,"&gt;="&amp;$A22,'Kho Xe'!D4:D203,"&lt;="&amp;EOMONTH($A22,0))</f>
        <v>0</v>
      </c>
      <c r="C22" s="6">
        <f>SUMIFS('Kho Xe'!C4:C203,'Kho Xe'!D4:D203,"&gt;="&amp;$A22,'Kho Xe'!D4:D203,"&lt;="&amp;EOMONTH($A22,0))</f>
        <v>0</v>
      </c>
      <c r="D22" s="2">
        <f>COUNTIFS('Kho Xe'!M4:M203,"&gt;="&amp;$A22,'Kho Xe'!M4:M203,"&lt;="&amp;EOMONTH($A22,0))</f>
        <v>0</v>
      </c>
      <c r="E22" s="6">
        <f>SUMIFS('Kho Xe'!P4:P203,'Kho Xe'!M4:M203,"&gt;="&amp;$A22,'Kho Xe'!M4:M203,"&lt;="&amp;EOMONTH($A22,0))</f>
        <v>0</v>
      </c>
    </row>
    <row r="23" spans="1:5" x14ac:dyDescent="0.2">
      <c r="A23" s="14">
        <f>DATE(2026,4,1)</f>
        <v>46113</v>
      </c>
      <c r="B23" s="2">
        <f>COUNTIFS('Kho Xe'!D4:D203,"&gt;="&amp;$A23,'Kho Xe'!D4:D203,"&lt;="&amp;EOMONTH($A23,0))</f>
        <v>0</v>
      </c>
      <c r="C23" s="6">
        <f>SUMIFS('Kho Xe'!C4:C203,'Kho Xe'!D4:D203,"&gt;="&amp;$A23,'Kho Xe'!D4:D203,"&lt;="&amp;EOMONTH($A23,0))</f>
        <v>0</v>
      </c>
      <c r="D23" s="2">
        <f>COUNTIFS('Kho Xe'!M4:M203,"&gt;="&amp;$A23,'Kho Xe'!M4:M203,"&lt;="&amp;EOMONTH($A23,0))</f>
        <v>0</v>
      </c>
      <c r="E23" s="6">
        <f>SUMIFS('Kho Xe'!P4:P203,'Kho Xe'!M4:M203,"&gt;="&amp;$A23,'Kho Xe'!M4:M203,"&lt;="&amp;EOMONTH($A23,0))</f>
        <v>0</v>
      </c>
    </row>
    <row r="24" spans="1:5" x14ac:dyDescent="0.2">
      <c r="A24" s="14">
        <f>DATE(2026,5,1)</f>
        <v>46143</v>
      </c>
      <c r="B24" s="2">
        <f>COUNTIFS('Kho Xe'!D4:D203,"&gt;="&amp;$A24,'Kho Xe'!D4:D203,"&lt;="&amp;EOMONTH($A24,0))</f>
        <v>0</v>
      </c>
      <c r="C24" s="6">
        <f>SUMIFS('Kho Xe'!C4:C203,'Kho Xe'!D4:D203,"&gt;="&amp;$A24,'Kho Xe'!D4:D203,"&lt;="&amp;EOMONTH($A24,0))</f>
        <v>0</v>
      </c>
      <c r="D24" s="2">
        <f>COUNTIFS('Kho Xe'!M4:M203,"&gt;="&amp;$A24,'Kho Xe'!M4:M203,"&lt;="&amp;EOMONTH($A24,0))</f>
        <v>0</v>
      </c>
      <c r="E24" s="6">
        <f>SUMIFS('Kho Xe'!P4:P203,'Kho Xe'!M4:M203,"&gt;="&amp;$A24,'Kho Xe'!M4:M203,"&lt;="&amp;EOMONTH($A24,0))</f>
        <v>0</v>
      </c>
    </row>
    <row r="25" spans="1:5" x14ac:dyDescent="0.2">
      <c r="A25" s="14">
        <f>DATE(2026,6,1)</f>
        <v>46174</v>
      </c>
      <c r="B25" s="2">
        <f>COUNTIFS('Kho Xe'!D4:D203,"&gt;="&amp;$A25,'Kho Xe'!D4:D203,"&lt;="&amp;EOMONTH($A25,0))</f>
        <v>0</v>
      </c>
      <c r="C25" s="6">
        <f>SUMIFS('Kho Xe'!C4:C203,'Kho Xe'!D4:D203,"&gt;="&amp;$A25,'Kho Xe'!D4:D203,"&lt;="&amp;EOMONTH($A25,0))</f>
        <v>0</v>
      </c>
      <c r="D25" s="2">
        <f>COUNTIFS('Kho Xe'!M4:M203,"&gt;="&amp;$A25,'Kho Xe'!M4:M203,"&lt;="&amp;EOMONTH($A25,0))</f>
        <v>0</v>
      </c>
      <c r="E25" s="6">
        <f>SUMIFS('Kho Xe'!P4:P203,'Kho Xe'!M4:M203,"&gt;="&amp;$A25,'Kho Xe'!M4:M203,"&lt;="&amp;EOMONTH($A25,0))</f>
        <v>0</v>
      </c>
    </row>
    <row r="26" spans="1:5" x14ac:dyDescent="0.2">
      <c r="A26" s="14">
        <f>DATE(2026,7,1)</f>
        <v>46204</v>
      </c>
      <c r="B26" s="2">
        <f>COUNTIFS('Kho Xe'!D4:D203,"&gt;="&amp;$A26,'Kho Xe'!D4:D203,"&lt;="&amp;EOMONTH($A26,0))</f>
        <v>1</v>
      </c>
      <c r="C26" s="6">
        <f>SUMIFS('Kho Xe'!C4:C203,'Kho Xe'!D4:D203,"&gt;="&amp;$A26,'Kho Xe'!D4:D203,"&lt;="&amp;EOMONTH($A26,0))</f>
        <v>0</v>
      </c>
      <c r="D26" s="2">
        <f>COUNTIFS('Kho Xe'!M4:M203,"&gt;="&amp;$A26,'Kho Xe'!M4:M203,"&lt;="&amp;EOMONTH($A26,0))</f>
        <v>1</v>
      </c>
      <c r="E26" s="6">
        <f>SUMIFS('Kho Xe'!P4:P203,'Kho Xe'!M4:M203,"&gt;="&amp;$A26,'Kho Xe'!M4:M203,"&lt;="&amp;EOMONTH($A26,0))</f>
        <v>0</v>
      </c>
    </row>
    <row r="27" spans="1:5" x14ac:dyDescent="0.2">
      <c r="A27" s="14">
        <f>DATE(2026,8,1)</f>
        <v>46235</v>
      </c>
      <c r="B27" s="2">
        <f>COUNTIFS('Kho Xe'!D4:D203,"&gt;="&amp;$A27,'Kho Xe'!D4:D203,"&lt;="&amp;EOMONTH($A27,0))</f>
        <v>1</v>
      </c>
      <c r="C27" s="6">
        <f>SUMIFS('Kho Xe'!C4:C203,'Kho Xe'!D4:D203,"&gt;="&amp;$A27,'Kho Xe'!D4:D203,"&lt;="&amp;EOMONTH($A27,0))</f>
        <v>0</v>
      </c>
      <c r="D27" s="2">
        <f>COUNTIFS('Kho Xe'!M4:M203,"&gt;="&amp;$A27,'Kho Xe'!M4:M203,"&lt;="&amp;EOMONTH($A27,0))</f>
        <v>0</v>
      </c>
      <c r="E27" s="6">
        <f>SUMIFS('Kho Xe'!P4:P203,'Kho Xe'!M4:M203,"&gt;="&amp;$A27,'Kho Xe'!M4:M203,"&lt;="&amp;EOMONTH($A27,0))</f>
        <v>0</v>
      </c>
    </row>
    <row r="28" spans="1:5" x14ac:dyDescent="0.2">
      <c r="A28" s="14">
        <f>DATE(2026,9,1)</f>
        <v>46266</v>
      </c>
      <c r="B28" s="2">
        <f>COUNTIFS('Kho Xe'!D4:D203,"&gt;="&amp;$A28,'Kho Xe'!D4:D203,"&lt;="&amp;EOMONTH($A28,0))</f>
        <v>0</v>
      </c>
      <c r="C28" s="6">
        <f>SUMIFS('Kho Xe'!C4:C203,'Kho Xe'!D4:D203,"&gt;="&amp;$A28,'Kho Xe'!D4:D203,"&lt;="&amp;EOMONTH($A28,0))</f>
        <v>0</v>
      </c>
      <c r="D28" s="2">
        <f>COUNTIFS('Kho Xe'!M4:M203,"&gt;="&amp;$A28,'Kho Xe'!M4:M203,"&lt;="&amp;EOMONTH($A28,0))</f>
        <v>0</v>
      </c>
      <c r="E28" s="6">
        <f>SUMIFS('Kho Xe'!P4:P203,'Kho Xe'!M4:M203,"&gt;="&amp;$A28,'Kho Xe'!M4:M203,"&lt;="&amp;EOMONTH($A28,0))</f>
        <v>0</v>
      </c>
    </row>
    <row r="29" spans="1:5" x14ac:dyDescent="0.2">
      <c r="A29" s="14">
        <f>DATE(2026,10,1)</f>
        <v>46296</v>
      </c>
      <c r="B29" s="2">
        <f>COUNTIFS('Kho Xe'!D4:D203,"&gt;="&amp;$A29,'Kho Xe'!D4:D203,"&lt;="&amp;EOMONTH($A29,0))</f>
        <v>0</v>
      </c>
      <c r="C29" s="6">
        <f>SUMIFS('Kho Xe'!C4:C203,'Kho Xe'!D4:D203,"&gt;="&amp;$A29,'Kho Xe'!D4:D203,"&lt;="&amp;EOMONTH($A29,0))</f>
        <v>0</v>
      </c>
      <c r="D29" s="2">
        <f>COUNTIFS('Kho Xe'!M4:M203,"&gt;="&amp;$A29,'Kho Xe'!M4:M203,"&lt;="&amp;EOMONTH($A29,0))</f>
        <v>0</v>
      </c>
      <c r="E29" s="6">
        <f>SUMIFS('Kho Xe'!P4:P203,'Kho Xe'!M4:M203,"&gt;="&amp;$A29,'Kho Xe'!M4:M203,"&lt;="&amp;EOMONTH($A29,0))</f>
        <v>0</v>
      </c>
    </row>
    <row r="30" spans="1:5" x14ac:dyDescent="0.2">
      <c r="A30" s="14">
        <f>DATE(2026,11,1)</f>
        <v>46327</v>
      </c>
      <c r="B30" s="2">
        <f>COUNTIFS('Kho Xe'!D4:D203,"&gt;="&amp;$A30,'Kho Xe'!D4:D203,"&lt;="&amp;EOMONTH($A30,0))</f>
        <v>0</v>
      </c>
      <c r="C30" s="6">
        <f>SUMIFS('Kho Xe'!C4:C203,'Kho Xe'!D4:D203,"&gt;="&amp;$A30,'Kho Xe'!D4:D203,"&lt;="&amp;EOMONTH($A30,0))</f>
        <v>0</v>
      </c>
      <c r="D30" s="2">
        <f>COUNTIFS('Kho Xe'!M4:M203,"&gt;="&amp;$A30,'Kho Xe'!M4:M203,"&lt;="&amp;EOMONTH($A30,0))</f>
        <v>0</v>
      </c>
      <c r="E30" s="6">
        <f>SUMIFS('Kho Xe'!P4:P203,'Kho Xe'!M4:M203,"&gt;="&amp;$A30,'Kho Xe'!M4:M203,"&lt;="&amp;EOMONTH($A30,0))</f>
        <v>0</v>
      </c>
    </row>
    <row r="31" spans="1:5" x14ac:dyDescent="0.2">
      <c r="A31" s="14">
        <f>DATE(2026,12,1)</f>
        <v>46357</v>
      </c>
      <c r="B31" s="2">
        <f>COUNTIFS('Kho Xe'!D4:D203,"&gt;="&amp;$A31,'Kho Xe'!D4:D203,"&lt;="&amp;EOMONTH($A31,0))</f>
        <v>0</v>
      </c>
      <c r="C31" s="6">
        <f>SUMIFS('Kho Xe'!C4:C203,'Kho Xe'!D4:D203,"&gt;="&amp;$A31,'Kho Xe'!D4:D203,"&lt;="&amp;EOMONTH($A31,0))</f>
        <v>0</v>
      </c>
      <c r="D31" s="2">
        <f>COUNTIFS('Kho Xe'!M4:M203,"&gt;="&amp;$A31,'Kho Xe'!M4:M203,"&lt;="&amp;EOMONTH($A31,0))</f>
        <v>0</v>
      </c>
      <c r="E31" s="6">
        <f>SUMIFS('Kho Xe'!P4:P203,'Kho Xe'!M4:M203,"&gt;="&amp;$A31,'Kho Xe'!M4:M203,"&lt;="&amp;EOMONTH($A31,0))</f>
        <v>0</v>
      </c>
    </row>
    <row r="33" spans="1:1" x14ac:dyDescent="0.2">
      <c r="A33" s="15" t="s">
        <v>41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1"/>
  <sheetViews>
    <sheetView workbookViewId="0"/>
  </sheetViews>
  <sheetFormatPr defaultRowHeight="14.25" x14ac:dyDescent="0.2"/>
  <cols>
    <col min="1" max="1" width="100" style="18" customWidth="1"/>
  </cols>
  <sheetData>
    <row r="1" spans="1:1" ht="26.1" customHeight="1" x14ac:dyDescent="0.2">
      <c r="A1" s="28" t="s">
        <v>42</v>
      </c>
    </row>
    <row r="2" spans="1:1" x14ac:dyDescent="0.2">
      <c r="A2" s="16"/>
    </row>
    <row r="3" spans="1:1" ht="15" customHeight="1" x14ac:dyDescent="0.2">
      <c r="A3" s="17" t="s">
        <v>43</v>
      </c>
    </row>
    <row r="4" spans="1:1" x14ac:dyDescent="0.2">
      <c r="A4" s="16" t="s">
        <v>44</v>
      </c>
    </row>
    <row r="5" spans="1:1" x14ac:dyDescent="0.2">
      <c r="A5" s="16" t="s">
        <v>45</v>
      </c>
    </row>
    <row r="6" spans="1:1" x14ac:dyDescent="0.2">
      <c r="A6" s="16"/>
    </row>
    <row r="7" spans="1:1" ht="15" customHeight="1" x14ac:dyDescent="0.2">
      <c r="A7" s="17" t="s">
        <v>46</v>
      </c>
    </row>
    <row r="8" spans="1:1" x14ac:dyDescent="0.2">
      <c r="A8" s="16" t="s">
        <v>47</v>
      </c>
    </row>
    <row r="9" spans="1:1" x14ac:dyDescent="0.2">
      <c r="A9" s="16" t="s">
        <v>48</v>
      </c>
    </row>
    <row r="10" spans="1:1" x14ac:dyDescent="0.2">
      <c r="A10" s="16" t="s">
        <v>49</v>
      </c>
    </row>
    <row r="11" spans="1:1" x14ac:dyDescent="0.2">
      <c r="A11" s="16" t="s">
        <v>50</v>
      </c>
    </row>
    <row r="12" spans="1:1" x14ac:dyDescent="0.2">
      <c r="A12" s="16" t="s">
        <v>51</v>
      </c>
    </row>
    <row r="13" spans="1:1" x14ac:dyDescent="0.2">
      <c r="A13" s="16" t="s">
        <v>52</v>
      </c>
    </row>
    <row r="14" spans="1:1" x14ac:dyDescent="0.2">
      <c r="A14" s="16" t="s">
        <v>53</v>
      </c>
    </row>
    <row r="15" spans="1:1" x14ac:dyDescent="0.2">
      <c r="A15" s="16"/>
    </row>
    <row r="16" spans="1:1" ht="15" customHeight="1" x14ac:dyDescent="0.2">
      <c r="A16" s="17" t="s">
        <v>54</v>
      </c>
    </row>
    <row r="17" spans="1:1" x14ac:dyDescent="0.2">
      <c r="A17" s="16" t="s">
        <v>55</v>
      </c>
    </row>
    <row r="18" spans="1:1" x14ac:dyDescent="0.2">
      <c r="A18" s="16" t="s">
        <v>56</v>
      </c>
    </row>
    <row r="19" spans="1:1" x14ac:dyDescent="0.2">
      <c r="A19" s="16" t="s">
        <v>57</v>
      </c>
    </row>
    <row r="20" spans="1:1" x14ac:dyDescent="0.2">
      <c r="A20" s="16" t="s">
        <v>58</v>
      </c>
    </row>
    <row r="21" spans="1:1" x14ac:dyDescent="0.2">
      <c r="A21" s="16"/>
    </row>
    <row r="22" spans="1:1" ht="15" customHeight="1" x14ac:dyDescent="0.2">
      <c r="A22" s="17" t="s">
        <v>59</v>
      </c>
    </row>
    <row r="23" spans="1:1" x14ac:dyDescent="0.2">
      <c r="A23" s="16" t="s">
        <v>60</v>
      </c>
    </row>
    <row r="24" spans="1:1" x14ac:dyDescent="0.2">
      <c r="A24" s="16" t="s">
        <v>61</v>
      </c>
    </row>
    <row r="25" spans="1:1" x14ac:dyDescent="0.2">
      <c r="A25" s="16" t="s">
        <v>62</v>
      </c>
    </row>
    <row r="26" spans="1:1" x14ac:dyDescent="0.2">
      <c r="A26" s="16"/>
    </row>
    <row r="27" spans="1:1" ht="15" customHeight="1" x14ac:dyDescent="0.2">
      <c r="A27" s="17" t="s">
        <v>63</v>
      </c>
    </row>
    <row r="28" spans="1:1" x14ac:dyDescent="0.2">
      <c r="A28" s="16" t="s">
        <v>64</v>
      </c>
    </row>
    <row r="29" spans="1:1" x14ac:dyDescent="0.2">
      <c r="A29" s="16" t="s">
        <v>65</v>
      </c>
    </row>
    <row r="30" spans="1:1" x14ac:dyDescent="0.2">
      <c r="A30" s="16" t="s">
        <v>66</v>
      </c>
    </row>
    <row r="31" spans="1:1" x14ac:dyDescent="0.2">
      <c r="A31" s="16" t="s">
        <v>67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Kho Xe</vt:lpstr>
      <vt:lpstr>Tổng Hợp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Khánh Duy</cp:lastModifiedBy>
  <dcterms:created xsi:type="dcterms:W3CDTF">2026-08-03T18:30:15Z</dcterms:created>
  <dcterms:modified xsi:type="dcterms:W3CDTF">2026-08-05T17:47:04Z</dcterms:modified>
</cp:coreProperties>
</file>